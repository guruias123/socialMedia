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0b4979ed9bf2dbb1/demo/Desktop/Jan21/"/>
    </mc:Choice>
  </mc:AlternateContent>
  <xr:revisionPtr revIDLastSave="133" documentId="13_ncr:1_{A9D9BF3C-E7B0-4833-9FF8-62628FB4DFE7}" xr6:coauthVersionLast="47" xr6:coauthVersionMax="47" xr10:uidLastSave="{78B5D133-6E1B-444C-A0D5-971CD00DAD61}"/>
  <bookViews>
    <workbookView xWindow="11424" yWindow="0" windowWidth="11712" windowHeight="12336" firstSheet="1" activeTab="2" xr2:uid="{00000000-000D-0000-FFFF-FFFF00000000}"/>
  </bookViews>
  <sheets>
    <sheet name="Report" sheetId="18" r:id="rId1"/>
    <sheet name="Metric Test Case" sheetId="19" r:id="rId2"/>
    <sheet name="Skill Cluster" sheetId="13" r:id="rId3"/>
    <sheet name="formuls" sheetId="20" state="hidden" r:id="rId4"/>
  </sheets>
  <externalReferences>
    <externalReference r:id="rId5"/>
    <externalReference r:id="rId6"/>
  </externalReferences>
  <definedNames>
    <definedName name="cause">#REF!</definedName>
    <definedName name="Comments">#REF!</definedName>
    <definedName name="FunctionalityImpPercentage">[1]Formulas!$C$19</definedName>
    <definedName name="GrandTotal">'[2]Server HW Details'!#REF!</definedName>
    <definedName name="Ltst_TestLog">"'Test log'"</definedName>
    <definedName name="_xlnm.Print_Area" localSheetId="0">Report!$A$2:$K$25</definedName>
    <definedName name="Severity">#REF!</definedName>
    <definedName name="State_of_Origi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9" l="1"/>
  <c r="C8" i="13"/>
  <c r="C7" i="13"/>
  <c r="C6" i="13"/>
  <c r="C5" i="13"/>
  <c r="C4" i="13"/>
  <c r="C3" i="13"/>
  <c r="G92" i="19"/>
  <c r="G93" i="19"/>
  <c r="G94" i="19"/>
  <c r="G95" i="19"/>
  <c r="G91" i="19"/>
  <c r="G37" i="19"/>
  <c r="G38" i="19"/>
  <c r="G39" i="19"/>
  <c r="G40" i="19"/>
  <c r="G41" i="19"/>
  <c r="G42" i="19"/>
  <c r="G43" i="19"/>
  <c r="G44" i="19"/>
  <c r="G45" i="19"/>
  <c r="G46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D90" i="19"/>
  <c r="D35" i="19"/>
  <c r="G10" i="19"/>
  <c r="G1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D4" i="19"/>
  <c r="G90" i="19" l="1"/>
  <c r="D6" i="13" s="1"/>
  <c r="D97" i="19"/>
  <c r="G99" i="19"/>
  <c r="G98" i="19"/>
  <c r="D48" i="19"/>
  <c r="G49" i="19"/>
  <c r="G48" i="19" s="1"/>
  <c r="D5" i="13" s="1"/>
  <c r="G36" i="19"/>
  <c r="G6" i="19"/>
  <c r="G7" i="19"/>
  <c r="G8" i="19"/>
  <c r="G9" i="19"/>
  <c r="G12" i="19"/>
  <c r="G13" i="19"/>
  <c r="G14" i="19"/>
  <c r="G15" i="19"/>
  <c r="G16" i="19"/>
  <c r="G17" i="19"/>
  <c r="G18" i="19"/>
  <c r="G19" i="19"/>
  <c r="G20" i="19"/>
  <c r="G21" i="19"/>
  <c r="D101" i="19" l="1"/>
  <c r="G4" i="19"/>
  <c r="D3" i="13" s="1"/>
  <c r="G97" i="19"/>
  <c r="D7" i="13" s="1"/>
  <c r="H48" i="19" l="1"/>
  <c r="E7" i="13" l="1"/>
  <c r="G35" i="19"/>
  <c r="E6" i="13"/>
  <c r="B5" i="13"/>
  <c r="E3" i="13"/>
  <c r="G101" i="19" l="1"/>
  <c r="A10" i="18" s="1"/>
  <c r="D4" i="13"/>
  <c r="E4" i="13" s="1"/>
  <c r="B6" i="13"/>
  <c r="B7" i="13"/>
  <c r="E5" i="13"/>
  <c r="B3" i="13"/>
  <c r="D8" i="13" l="1"/>
  <c r="B4" i="13"/>
  <c r="A25" i="18" s="1"/>
  <c r="A19" i="18" l="1"/>
  <c r="A14" i="18"/>
</calcChain>
</file>

<file path=xl/sharedStrings.xml><?xml version="1.0" encoding="utf-8"?>
<sst xmlns="http://schemas.openxmlformats.org/spreadsheetml/2006/main" count="299" uniqueCount="200">
  <si>
    <t>On the Job Training Assessment Report</t>
  </si>
  <si>
    <t>Employee ID</t>
  </si>
  <si>
    <t>Employee Name</t>
  </si>
  <si>
    <t>Assessment Date</t>
  </si>
  <si>
    <t>Venkatesh.Bandaru@cognizant.com</t>
  </si>
  <si>
    <t>13/1/2026</t>
  </si>
  <si>
    <t>OJT Name</t>
  </si>
  <si>
    <t>Developing Single Page Application Using React -On-The-Job Evaluation [201-INTERMEDIATE]</t>
  </si>
  <si>
    <t>This is to certify that he/she has</t>
  </si>
  <si>
    <t>Web Application Development using React JS - Social Connect - PL2 - ATHDW309473</t>
  </si>
  <si>
    <t>Overall Report</t>
  </si>
  <si>
    <t>Areas of Excellence</t>
  </si>
  <si>
    <t>Areas of Improvement</t>
  </si>
  <si>
    <t>Areas of Focus</t>
  </si>
  <si>
    <t>React JS - PL2-Social Connect Metrics Test Cases</t>
  </si>
  <si>
    <t>Alternate Approach</t>
  </si>
  <si>
    <t>Business Requirements</t>
  </si>
  <si>
    <t>Web Page / Class Affected /Test scenario</t>
  </si>
  <si>
    <t>Code Snippet to be checked / Expected Result</t>
  </si>
  <si>
    <t>Weightage</t>
  </si>
  <si>
    <t>Topic</t>
  </si>
  <si>
    <t>Topic Score</t>
  </si>
  <si>
    <t>Comments</t>
  </si>
  <si>
    <t xml:space="preserve"> Design UI : Develop User interfaces for all the pages as per the business requirements</t>
  </si>
  <si>
    <t>Create UI for all the screens</t>
  </si>
  <si>
    <t xml:space="preserve">Result 
</t>
  </si>
  <si>
    <t xml:space="preserve">Header </t>
  </si>
  <si>
    <t>The header must prominently display the Social Connect logo for consistent branding and identity across all pages. It should be responsive, adapting to various screen sizes and devices for a seamless user experience on desktop and mobile platforms.</t>
  </si>
  <si>
    <t>●  Apply and build the application using the core React concepts.
● Apply state management concepts and build th+C19+E5</t>
  </si>
  <si>
    <t>PASS</t>
  </si>
  <si>
    <t xml:space="preserve">User Details with Bio </t>
  </si>
  <si>
    <t>Visual Layout: Design a visually appealing layout to showcase the user's profile picture, name, username, and relevant details.</t>
  </si>
  <si>
    <t>User Information: Display key user information, such as age, location, interests, and any other pertinent details.</t>
  </si>
  <si>
    <t>UI Components: Utilize appropriate UI components like cards, sections, or tabs to organize different aspects of the user's information.</t>
  </si>
  <si>
    <t>Bio Content: Provide a designated section for the user's biography, allowing them to describe themselves, their interests, or any other relevant information.</t>
  </si>
  <si>
    <t>Formatting and Styling: Design the bio page with proper formatting and styling, including paragraph breaks, bullet points, or emphasis on important details.</t>
  </si>
  <si>
    <t>Readability: Ensure the bio content is presented in a readable format, avoiding clutter and excessive text.</t>
  </si>
  <si>
    <t xml:space="preserve"> Cover Page</t>
  </si>
  <si>
    <t>Visual Appeal: Design an attractive and visually appealing cover page layout that complements the overall aesthetic of the application.</t>
  </si>
  <si>
    <t>Integration with User Profile: Ensure that the cover photo seamlessly integrates with the user's profile page, providing a cohesive user experience.</t>
  </si>
  <si>
    <t>Differentiate Banner and Avatar: Create separate sections or folders to store the cover photo (banner) and user's profile picture (avatar) for easy management.</t>
  </si>
  <si>
    <t>User Upload: Allow users to upload their own cover photo from their local device or select from pre-defined options.</t>
  </si>
  <si>
    <t>FAIL</t>
  </si>
  <si>
    <t>Change Cover button is present with camera icon and proper styling.Button lacks onClick event handler and file input mechanism - feature not implemented.</t>
  </si>
  <si>
    <t>User Interaction: Provide a user-friendly interface for selecting or uploading a cover photo, allowing users to preview and confirm their selection.</t>
  </si>
  <si>
    <t>Adding Post</t>
  </si>
  <si>
    <t>Message Box: Design a user-friendly message box for post content, supporting text, emojis, and rich media.</t>
  </si>
  <si>
    <t>Image Attachment: Provide a mechanism for users to select and attach images from the application's asset folder to their posts.</t>
  </si>
  <si>
    <t>Photo/Video button displays correctly with image icon in post creation form.Button has no click event binding and no file upload logic - feature not implemented.</t>
  </si>
  <si>
    <t>User Interface: Create a clear and intuitive user interface that guides users through the post creation process.</t>
  </si>
  <si>
    <t>Alternate Approach/Partial implementation</t>
  </si>
  <si>
    <t xml:space="preserve">Basic text posting works but guided workflow and validation missing </t>
  </si>
  <si>
    <t>Responsive Layout: Ensure a responsive layout adaptable to different screen sizes and devices for a consistent user experience.</t>
  </si>
  <si>
    <t>Rendering and Display: Display user posts in visually appealing and user-friendly sections of the application.</t>
  </si>
  <si>
    <t>Feed Area</t>
  </si>
  <si>
    <t>User-Friendly Layout: Design a visually appealing and user-friendly layout to present the posts in the feed area.</t>
  </si>
  <si>
    <t>Post Content: Ensure that the post content, including the message, author, timestamp, and any attached images, is properly displayed and easily readable.</t>
  </si>
  <si>
    <t>Photo/Video button has no click handler or file upload</t>
  </si>
  <si>
    <t>Pagination: Consider implementing pagination or infinite scrolling to manage large volumes of posts efficiently.</t>
  </si>
  <si>
    <t xml:space="preserve">No pagination or No  infinite scrolling logic implemented  </t>
  </si>
  <si>
    <t>Comment Section: Include a comment section beneath each post where users can leave comments and engage in discussions.</t>
  </si>
  <si>
    <t>Comment Count: Display the total number of comments on a post to provide a sense of engagement and activity.</t>
  </si>
  <si>
    <t>Friends List</t>
  </si>
  <si>
    <t>User-Friendly Layout: Design an intuitive and visually appealing interface to display the user's list of friends.</t>
  </si>
  <si>
    <t>Friend Details: Include relevant information about each friend, such as their profile picture, name, and any additional details that promote recognition and interaction.</t>
  </si>
  <si>
    <t>Add User (Friends)</t>
  </si>
  <si>
    <t>User-Friendly Interface: Design a modal popup that allows users to enter basic information about the new user they want to add.</t>
  </si>
  <si>
    <t>Form Fields: Include relevant fields for capturing the basic information, such as name, profile picture, email, and any other necessary details.</t>
  </si>
  <si>
    <t>profile picture upload missing</t>
  </si>
  <si>
    <t>Submit Button: Provide a button to submit the user's information and add them to the friends list.</t>
  </si>
  <si>
    <t>User Experience: Display the add user functionality within a modal popup to provide a focused and intuitive user experience.</t>
  </si>
  <si>
    <t>Visual Feedback: Provide visual feedback to indicate the successful addition of the new user, ensuring the user is aware that the process has completed successfully.</t>
  </si>
  <si>
    <t>No success notification/toast</t>
  </si>
  <si>
    <t>API Implementations</t>
  </si>
  <si>
    <t>Use API calls to fetch and show the data as per the need</t>
  </si>
  <si>
    <t>Fetch Users</t>
  </si>
  <si>
    <t>Fetches a list of users from the backend server</t>
  </si>
  <si>
    <t>• API Integration</t>
  </si>
  <si>
    <t>Retrieve Posts</t>
  </si>
  <si>
    <t>Retrieves a list of posts from the backend server.</t>
  </si>
  <si>
    <t>Create Post</t>
  </si>
  <si>
    <t>Creates a new post and stores it in the backend database.</t>
  </si>
  <si>
    <t>Update User</t>
  </si>
  <si>
    <t xml:space="preserve">Updates user information in the backend database. </t>
  </si>
  <si>
    <t>Delete Post</t>
  </si>
  <si>
    <t>Deletes a specific post from the backend database.</t>
  </si>
  <si>
    <t>NOT IMPLEMENTED</t>
  </si>
  <si>
    <t>Add Friend</t>
  </si>
  <si>
    <t>Adds a new user as a friend to the current user's friends list in the backend.</t>
  </si>
  <si>
    <t>Get Friends</t>
  </si>
  <si>
    <t xml:space="preserve">Retrieves the list of friends for the current user from the backend server. </t>
  </si>
  <si>
    <t>Set Cover Photo</t>
  </si>
  <si>
    <t>Uploads and sets a new cover photo for the user in the backend database.</t>
  </si>
  <si>
    <t>Friends' Posts</t>
  </si>
  <si>
    <t xml:space="preserve"> Retrieves a list of posts shared by the current user's friends from the backend server.</t>
  </si>
  <si>
    <t>Add Comment</t>
  </si>
  <si>
    <t>Adds a new comment to a specific post in the backend database.</t>
  </si>
  <si>
    <t>Add Reply</t>
  </si>
  <si>
    <t>Adds a reply to a specific comment in the backend database.</t>
  </si>
  <si>
    <t>Core Functionalities</t>
  </si>
  <si>
    <t>Functionality</t>
  </si>
  <si>
    <t>User Details with Bio</t>
  </si>
  <si>
    <t>Connect the userProfile component and aboutUser component to Redux, enabling them to retrieve user-related data from the application state.</t>
  </si>
  <si>
    <t xml:space="preserve">● Apply and build the application using the core React concepts.
● Apply state management concepts and build the application.
● Debug the issues, while developing.
● Use essential coding and performance standard
● Effectively apply and use any one CSS framework
● Apply essential reusable skills while writing the cod
● Use the story book for developing reusable components.
</t>
  </si>
  <si>
    <t>No Redux Integration</t>
  </si>
  <si>
    <t>Implement Redux actions and reducers to fetch and manage the user details and bio data.</t>
  </si>
  <si>
    <t>No user details management in Redux</t>
  </si>
  <si>
    <t>Once the user data is retrieved from Redux, dynamically render the user's profile details and bio content on their respective pages.</t>
  </si>
  <si>
    <t>Ensure that the data rendering is efficient and updates in real-time if any changes occur to the user's details or bio.</t>
  </si>
  <si>
    <t>Implement appropriate privacy settings to control the visibility of user details and bio content based on the user's preferences.</t>
  </si>
  <si>
    <t>No privacy controls for profile visibility</t>
  </si>
  <si>
    <t>Allow users to update their privacy settings and determine who can view their profile information and bio.</t>
  </si>
  <si>
    <t>No way for users to update privacy settings and determine who can view profile</t>
  </si>
  <si>
    <t>Provide functionality to edit and update the user's details and bio content, allowing them to make changes and save the modifications to Redux.</t>
  </si>
  <si>
    <t>Implement proper validation to ensure that the entered data meets the required criteria and maintains data integrity.</t>
  </si>
  <si>
    <t xml:space="preserve"> No proper validation to ensure entered data meets required criteria and maintains data integrity</t>
  </si>
  <si>
    <t>File Management: Store the cover photo images in the application's asset folder and create a separate folder to manage and retrieve the cover photos for each user.</t>
  </si>
  <si>
    <t>No asset folder management, no file storage</t>
  </si>
  <si>
    <t>Dynamic Rendering: Retrieve and display the user's cover photo dynamically on their profile page, ensuring it reflects the most recent selection or upload.</t>
  </si>
  <si>
    <t>Hardcoded image path, no user-specific covers</t>
  </si>
  <si>
    <t>File Management and Storage: Implement a server-side component to handle file uploads and manage the storage of cover photos.</t>
  </si>
  <si>
    <t>No server-side file handling</t>
  </si>
  <si>
    <t>Establish a standardized naming convention or unique identifier for each cover photo to ensure easy retrieval and association with the user.</t>
  </si>
  <si>
    <t>No unique identifiers for cover photos</t>
  </si>
  <si>
    <t>Save the dynamic picture path or unique identifier associated with the user's cover photo in the server's database.</t>
  </si>
  <si>
    <t>No database path storage/retrieval</t>
  </si>
  <si>
    <t>Retrieve the cover photo path from the database when rendering the user's profile page, ensuring the correct cover photo is displayed.</t>
  </si>
  <si>
    <t>Cover path not retrieved from user data</t>
  </si>
  <si>
    <t>Apply necessary security measures to protect user-uploaded cover photos from unauthorized access or misuse.</t>
  </si>
  <si>
    <t>No access control or file protection</t>
  </si>
  <si>
    <t>Validate uploaded images to ensure they meet the specified requirements (e.g., file format, size limitations).</t>
  </si>
  <si>
    <t>No file format/size validation</t>
  </si>
  <si>
    <t>Ensure compliance with privacy regulations and guidelines related to user-generated content.</t>
  </si>
  <si>
    <t>No privacy guidelines for uploads</t>
  </si>
  <si>
    <t>Image Handling: Establish a mapping between image paths in the application's assets and the corresponding images stored on the server. Implement image upload and storage mechanisms for post attachments.</t>
  </si>
  <si>
    <t xml:space="preserve"> NO UPLOAD MECHANISM</t>
  </si>
  <si>
    <t>Post Creation: Validate user's post messages, handle image uploads, and associate the posts with the users who authored them.</t>
  </si>
  <si>
    <t>Data Persistence: Store post content, including messages, image paths, and associated user details, in the server's database for future retrieval.</t>
  </si>
  <si>
    <t>Data Association: Associate created posts with the respective users for proper attribution and visibility.</t>
  </si>
  <si>
    <t>Retrieve Post Data: Fetch relevant post information, including messages and image paths, from the server's database for display.</t>
  </si>
  <si>
    <t>Reply Functionality: Allow users to reply to specific comments within a post, fostering threaded conversations.</t>
  </si>
  <si>
    <t>NO THREADED REPLIES</t>
  </si>
  <si>
    <t>Feed Population: Retrieve post data from the server, ensuring that user details and post information are stored and maintained separately.</t>
  </si>
  <si>
    <t>Display Order: Determine the order in which posts are displayed, such as sorting by the most recent or applying any relevant algorithms for personalized content.</t>
  </si>
  <si>
    <t>NO SORTING ALGORITHM</t>
  </si>
  <si>
    <t>Comment Creation: Enable users to create comments on posts, associating them with the respective post and user details.</t>
  </si>
  <si>
    <t>Reply Handling: Implement a threaded comment system that allows users to reply to specific comments, ensuring the replies are nested and organized.</t>
  </si>
  <si>
    <t>NO REPLY SYSTEM</t>
  </si>
  <si>
    <t>Data Flow: Utilize Redux to manage the state of the feed area, ensuring that user details and post data flow through the appropriate Redux actions and reducers.</t>
  </si>
  <si>
    <t>Data Synchronization: Ensure that any updates or changes made to posts, likes, and comments are synchronized and reflected across all relevant components.</t>
  </si>
  <si>
    <t>Real-time Updates: Implement mechanisms for real-time updates, such as WebSocket or push notifications, to notify users of new posts, likes, and comments.</t>
  </si>
  <si>
    <t xml:space="preserve"> NO REAL-TIME FEATURES</t>
  </si>
  <si>
    <t>User Notifications: Notify users of any activity related to their posts, likes, or comments, ensuring they stay engaged with the application.</t>
  </si>
  <si>
    <t>NO NOTIFICATION SYSTEM</t>
  </si>
  <si>
    <t>Real-Time Update: Ensure that the friends list is updated in real time when a new user is added, providing immediate visibility to the newly added friend.</t>
  </si>
  <si>
    <t>NO REAL-TIME FEATURES</t>
  </si>
  <si>
    <t>Append New User: Upon submitting the user's information, append the new user to the existing friends list, displaying their basic information in the appropriate format.</t>
  </si>
  <si>
    <t>Capture User Information: Prompt the user to enter the basic information of the user they want to add, such as name, profile picture, and email.</t>
  </si>
  <si>
    <t>Validation: Validate the entered information to ensure it meets the required criteria, such as proper email format or specific character limits.</t>
  </si>
  <si>
    <t>NO EMAIL FORMAT/CHAR LIMITS</t>
  </si>
  <si>
    <t>Submit Data: Upon clicking the submit button, send the entered user information to the server or database for processing and storage.</t>
  </si>
  <si>
    <t>Append to Friends List: Once the server confirms the successful addition of the new user, update the friends list by appending the new user's basic information to the existing list.</t>
  </si>
  <si>
    <t>Implement error handling mechanisms to handle any issues that may occur during the user addition process, such as network errors or duplicate entries.</t>
  </si>
  <si>
    <t>LIMITED ERROR HANDLING</t>
  </si>
  <si>
    <t>Data Security: Implement appropriate security measures to protect user data during the user addition process, ensuring data privacy and compliance with data protection regulations.</t>
  </si>
  <si>
    <t>NO SECURITY MEASURES</t>
  </si>
  <si>
    <t>Data Persistence: Store the user's basic information securely in the server or database for future reference and retrieval.</t>
  </si>
  <si>
    <t xml:space="preserve">Developing Reusable Components </t>
  </si>
  <si>
    <t>Develop reusable components</t>
  </si>
  <si>
    <t>Environment Setup</t>
  </si>
  <si>
    <t>Set up React v18 and JSON Server for quick REST API service.Use 'db.json' as the database for data storage.</t>
  </si>
  <si>
    <t xml:space="preserve">• Implement the components which fits the component library standards.
• React Component Design Pattern 
• Develop reusable components
</t>
  </si>
  <si>
    <t>User Details and Bio</t>
  </si>
  <si>
    <t>Create user profile and bio pages.Integrate Redux for data management.Implement dynamic rendering of user data.</t>
  </si>
  <si>
    <t>NOT IMPLEMENTED:Profile editing functionality,Privacy settings</t>
  </si>
  <si>
    <t>Cover Page and Add Post</t>
  </si>
  <si>
    <t>Design cover page for profile customization.Implement "Add Post" feature with image uploads.</t>
  </si>
  <si>
    <t>NOT IMPLEMENTED:
Cover page customization (Change Cover button non-functional),Image upload functionality for posts
Photo/Video button is decorative only
File upload mechanism completely missing</t>
  </si>
  <si>
    <t>Feed Area and Friends List:</t>
  </si>
  <si>
    <t>Develop feed area for displaying user posts.Create friends list with real-time updates.</t>
  </si>
  <si>
    <t>NOT IMPLEMENTED:
Real-time updates (no WebSocket/live sync),Live notifications</t>
  </si>
  <si>
    <t>Add User (Friends) and Zip Instructions:</t>
  </si>
  <si>
    <t>Design modal popup for adding friends.Follow instructions for zipping the code.</t>
  </si>
  <si>
    <t xml:space="preserve"> NOT IMPLEMENTED:
Real-time visibility of new friends to other users
Comprehensive validation (email format, duplicates)</t>
  </si>
  <si>
    <t xml:space="preserve"> Performance Best practices / Others</t>
  </si>
  <si>
    <t>Implement Best Practices and standards</t>
  </si>
  <si>
    <t>ES Lint</t>
  </si>
  <si>
    <t>Verify that ESLint installation and configuration done in the workspace</t>
  </si>
  <si>
    <t xml:space="preserve"> Implement Auditing essentials for the SPA / React JS</t>
  </si>
  <si>
    <t xml:space="preserve">Basic ESLint configuration </t>
  </si>
  <si>
    <t>Verify that all the Rules defined in the requirement document is implemented in ESLint</t>
  </si>
  <si>
    <t>Skill Cluster</t>
  </si>
  <si>
    <t>Features</t>
  </si>
  <si>
    <t>Status</t>
  </si>
  <si>
    <t>Score</t>
  </si>
  <si>
    <t>Topicwise %</t>
  </si>
  <si>
    <t>Develop User interfaces for all the pages</t>
  </si>
  <si>
    <t>Functionalities</t>
  </si>
  <si>
    <t>Developing Reusable Components</t>
  </si>
  <si>
    <t>Not Evaluated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</si>
</sst>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"/>
  </numFmts>
  <fonts count="26">
    <font>
      <sz val="10"/>
      <name val="Arial"/>
      <charset val="134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theme="0"/>
      <name val="Century Gothic"/>
      <family val="2"/>
    </font>
    <font>
      <sz val="10"/>
      <name val="Calibri"/>
      <family val="2"/>
      <scheme val="minor"/>
    </font>
    <font>
      <sz val="16"/>
      <color theme="0"/>
      <name val="Century Gothic"/>
      <family val="2"/>
    </font>
    <font>
      <sz val="12"/>
      <name val="Century Gothic"/>
      <family val="2"/>
    </font>
    <font>
      <b/>
      <sz val="12"/>
      <color theme="1"/>
      <name val="Century Gothic"/>
      <family val="2"/>
    </font>
    <font>
      <sz val="13"/>
      <name val="Century Gothic"/>
      <family val="2"/>
    </font>
    <font>
      <sz val="13"/>
      <color theme="1"/>
      <name val="Century Gothic"/>
      <family val="2"/>
    </font>
    <font>
      <b/>
      <sz val="16"/>
      <color rgb="FF00B050"/>
      <name val="Century Gothic"/>
      <family val="2"/>
    </font>
    <font>
      <b/>
      <sz val="13"/>
      <color theme="1"/>
      <name val="Century Gothic"/>
      <family val="2"/>
    </font>
    <font>
      <b/>
      <sz val="13"/>
      <color rgb="FFF57E1B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entury Gothic"/>
      <family val="2"/>
    </font>
    <font>
      <sz val="10"/>
      <color rgb="FF000000"/>
      <name val="Calibri"/>
      <family val="2"/>
      <scheme val="minor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sz val="11"/>
      <color rgb="FF980000"/>
      <name val="Century Gothic"/>
      <family val="2"/>
    </font>
    <font>
      <b/>
      <sz val="11"/>
      <color rgb="FF980000"/>
      <name val="Century Gothic"/>
      <family val="2"/>
    </font>
    <font>
      <u/>
      <sz val="10"/>
      <color theme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C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7030A0"/>
        <bgColor rgb="FFCCC0D9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9">
    <xf numFmtId="0" fontId="0" fillId="0" borderId="0"/>
    <xf numFmtId="0" fontId="4" fillId="2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1" fillId="0" borderId="1" xfId="0" applyFont="1" applyBorder="1"/>
    <xf numFmtId="49" fontId="3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1" fontId="1" fillId="0" borderId="1" xfId="0" applyNumberFormat="1" applyFont="1" applyBorder="1"/>
    <xf numFmtId="0" fontId="4" fillId="0" borderId="0" xfId="0" applyFont="1"/>
    <xf numFmtId="0" fontId="18" fillId="0" borderId="0" xfId="0" applyFont="1"/>
    <xf numFmtId="0" fontId="17" fillId="0" borderId="0" xfId="0" applyFont="1"/>
    <xf numFmtId="2" fontId="20" fillId="8" borderId="17" xfId="0" applyNumberFormat="1" applyFont="1" applyFill="1" applyBorder="1" applyAlignment="1">
      <alignment horizontal="center" vertical="center"/>
    </xf>
    <xf numFmtId="0" fontId="22" fillId="7" borderId="12" xfId="0" applyFont="1" applyFill="1" applyBorder="1" applyAlignment="1">
      <alignment horizontal="center" vertical="center" wrapText="1"/>
    </xf>
    <xf numFmtId="164" fontId="23" fillId="7" borderId="3" xfId="0" applyNumberFormat="1" applyFont="1" applyFill="1" applyBorder="1" applyAlignment="1">
      <alignment horizontal="left"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/>
    </xf>
    <xf numFmtId="0" fontId="22" fillId="11" borderId="1" xfId="0" applyFont="1" applyFill="1" applyBorder="1" applyAlignment="1">
      <alignment horizontal="center" vertical="center" wrapText="1"/>
    </xf>
    <xf numFmtId="164" fontId="23" fillId="7" borderId="1" xfId="0" applyNumberFormat="1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1" fontId="22" fillId="0" borderId="1" xfId="0" applyNumberFormat="1" applyFont="1" applyBorder="1" applyAlignment="1">
      <alignment horizontal="center" vertical="center"/>
    </xf>
    <xf numFmtId="0" fontId="22" fillId="9" borderId="0" xfId="0" applyFont="1" applyFill="1" applyAlignment="1">
      <alignment horizontal="center" wrapText="1"/>
    </xf>
    <xf numFmtId="2" fontId="20" fillId="8" borderId="1" xfId="0" applyNumberFormat="1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wrapText="1"/>
    </xf>
    <xf numFmtId="165" fontId="22" fillId="7" borderId="3" xfId="0" applyNumberFormat="1" applyFont="1" applyFill="1" applyBorder="1" applyAlignment="1">
      <alignment horizontal="center" wrapText="1"/>
    </xf>
    <xf numFmtId="164" fontId="23" fillId="7" borderId="3" xfId="0" applyNumberFormat="1" applyFont="1" applyFill="1" applyBorder="1" applyAlignment="1">
      <alignment horizontal="left" vertical="top" wrapText="1"/>
    </xf>
    <xf numFmtId="165" fontId="22" fillId="0" borderId="1" xfId="0" applyNumberFormat="1" applyFont="1" applyBorder="1" applyAlignment="1">
      <alignment horizontal="center"/>
    </xf>
    <xf numFmtId="0" fontId="22" fillId="10" borderId="1" xfId="0" applyFont="1" applyFill="1" applyBorder="1" applyAlignment="1">
      <alignment vertical="center" wrapText="1"/>
    </xf>
    <xf numFmtId="2" fontId="22" fillId="10" borderId="1" xfId="0" applyNumberFormat="1" applyFont="1" applyFill="1" applyBorder="1" applyAlignment="1">
      <alignment horizontal="center"/>
    </xf>
    <xf numFmtId="0" fontId="22" fillId="10" borderId="1" xfId="0" applyFont="1" applyFill="1" applyBorder="1" applyAlignment="1">
      <alignment horizontal="left" vertical="center" wrapText="1"/>
    </xf>
    <xf numFmtId="0" fontId="22" fillId="0" borderId="1" xfId="0" applyFont="1" applyBorder="1"/>
    <xf numFmtId="0" fontId="22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wrapText="1"/>
    </xf>
    <xf numFmtId="0" fontId="22" fillId="9" borderId="17" xfId="0" applyFont="1" applyFill="1" applyBorder="1" applyAlignment="1">
      <alignment horizontal="center" wrapText="1"/>
    </xf>
    <xf numFmtId="0" fontId="22" fillId="9" borderId="9" xfId="0" applyFont="1" applyFill="1" applyBorder="1" applyAlignment="1">
      <alignment horizontal="center" wrapText="1"/>
    </xf>
    <xf numFmtId="0" fontId="22" fillId="9" borderId="20" xfId="0" applyFont="1" applyFill="1" applyBorder="1" applyAlignment="1">
      <alignment horizontal="center" wrapText="1"/>
    </xf>
    <xf numFmtId="0" fontId="22" fillId="9" borderId="1" xfId="0" applyFont="1" applyFill="1" applyBorder="1" applyAlignment="1">
      <alignment horizontal="center" wrapText="1"/>
    </xf>
    <xf numFmtId="0" fontId="22" fillId="14" borderId="1" xfId="0" applyFont="1" applyFill="1" applyBorder="1" applyAlignment="1">
      <alignment horizontal="center" vertical="center" wrapText="1"/>
    </xf>
    <xf numFmtId="165" fontId="22" fillId="10" borderId="1" xfId="0" applyNumberFormat="1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 wrapText="1"/>
    </xf>
    <xf numFmtId="165" fontId="20" fillId="8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2" fillId="7" borderId="17" xfId="0" applyFont="1" applyFill="1" applyBorder="1" applyAlignment="1">
      <alignment horizontal="left" vertical="center" indent="1"/>
    </xf>
    <xf numFmtId="0" fontId="22" fillId="9" borderId="0" xfId="0" applyFont="1" applyFill="1" applyAlignment="1">
      <alignment horizontal="left" wrapText="1" indent="1"/>
    </xf>
    <xf numFmtId="0" fontId="22" fillId="7" borderId="1" xfId="0" applyFont="1" applyFill="1" applyBorder="1" applyAlignment="1">
      <alignment horizontal="left" indent="1"/>
    </xf>
    <xf numFmtId="0" fontId="22" fillId="7" borderId="3" xfId="0" applyFont="1" applyFill="1" applyBorder="1" applyAlignment="1">
      <alignment horizontal="left" wrapText="1" indent="1"/>
    </xf>
    <xf numFmtId="0" fontId="22" fillId="7" borderId="1" xfId="0" applyFont="1" applyFill="1" applyBorder="1" applyAlignment="1">
      <alignment horizontal="left" wrapText="1" indent="1"/>
    </xf>
    <xf numFmtId="0" fontId="22" fillId="9" borderId="1" xfId="0" applyFont="1" applyFill="1" applyBorder="1" applyAlignment="1">
      <alignment horizontal="left" wrapText="1" indent="1"/>
    </xf>
    <xf numFmtId="0" fontId="22" fillId="0" borderId="1" xfId="0" applyFont="1" applyBorder="1" applyAlignment="1">
      <alignment horizontal="left" indent="1"/>
    </xf>
    <xf numFmtId="0" fontId="17" fillId="0" borderId="0" xfId="0" applyFont="1" applyAlignment="1">
      <alignment horizontal="left" vertical="top" wrapText="1" indent="1"/>
    </xf>
    <xf numFmtId="2" fontId="20" fillId="8" borderId="3" xfId="0" applyNumberFormat="1" applyFont="1" applyFill="1" applyBorder="1" applyAlignment="1">
      <alignment horizontal="center" vertical="center"/>
    </xf>
    <xf numFmtId="2" fontId="20" fillId="8" borderId="1" xfId="0" applyNumberFormat="1" applyFont="1" applyFill="1" applyBorder="1" applyAlignment="1">
      <alignment horizontal="center" vertical="center"/>
    </xf>
    <xf numFmtId="2" fontId="20" fillId="4" borderId="1" xfId="0" applyNumberFormat="1" applyFont="1" applyFill="1" applyBorder="1" applyAlignment="1">
      <alignment horizontal="center" vertical="center"/>
    </xf>
    <xf numFmtId="2" fontId="1" fillId="0" borderId="1" xfId="27" applyNumberFormat="1" applyFont="1" applyBorder="1"/>
    <xf numFmtId="2" fontId="1" fillId="0" borderId="1" xfId="0" applyNumberFormat="1" applyFont="1" applyBorder="1"/>
    <xf numFmtId="0" fontId="9" fillId="13" borderId="1" xfId="23" applyFont="1" applyFill="1" applyBorder="1" applyAlignment="1">
      <alignment horizontal="left"/>
    </xf>
    <xf numFmtId="0" fontId="9" fillId="1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 indent="1"/>
    </xf>
    <xf numFmtId="0" fontId="8" fillId="17" borderId="1" xfId="0" applyFont="1" applyFill="1" applyBorder="1" applyAlignment="1">
      <alignment horizontal="left" vertical="center" wrapText="1" indent="1"/>
    </xf>
    <xf numFmtId="0" fontId="8" fillId="16" borderId="1" xfId="0" applyFont="1" applyFill="1" applyBorder="1" applyAlignment="1">
      <alignment horizontal="left" vertical="center" wrapText="1" indent="1"/>
    </xf>
    <xf numFmtId="0" fontId="10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5" fillId="0" borderId="9" xfId="38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0" fillId="6" borderId="3" xfId="0" applyFont="1" applyFill="1" applyBorder="1" applyAlignment="1">
      <alignment horizontal="left" vertical="center" wrapText="1" indent="1"/>
    </xf>
    <xf numFmtId="0" fontId="21" fillId="0" borderId="5" xfId="0" applyFont="1" applyBorder="1" applyAlignment="1">
      <alignment horizontal="left" vertical="center" indent="1"/>
    </xf>
    <xf numFmtId="0" fontId="21" fillId="0" borderId="4" xfId="0" applyFont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0" fontId="22" fillId="14" borderId="17" xfId="0" applyFont="1" applyFill="1" applyBorder="1" applyAlignment="1">
      <alignment horizontal="center" vertical="center" wrapText="1"/>
    </xf>
    <xf numFmtId="0" fontId="22" fillId="14" borderId="15" xfId="0" applyFont="1" applyFill="1" applyBorder="1" applyAlignment="1">
      <alignment horizontal="center" vertical="center" wrapText="1"/>
    </xf>
    <xf numFmtId="0" fontId="22" fillId="14" borderId="14" xfId="0" applyFont="1" applyFill="1" applyBorder="1" applyAlignment="1">
      <alignment horizontal="center" vertical="center" wrapText="1"/>
    </xf>
    <xf numFmtId="0" fontId="22" fillId="10" borderId="17" xfId="0" applyFont="1" applyFill="1" applyBorder="1" applyAlignment="1">
      <alignment horizontal="center" vertical="center" wrapText="1"/>
    </xf>
    <xf numFmtId="0" fontId="22" fillId="10" borderId="14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wrapText="1"/>
    </xf>
    <xf numFmtId="0" fontId="22" fillId="9" borderId="11" xfId="0" applyFont="1" applyFill="1" applyBorder="1" applyAlignment="1">
      <alignment horizontal="center" wrapText="1"/>
    </xf>
    <xf numFmtId="0" fontId="22" fillId="9" borderId="16" xfId="0" applyFont="1" applyFill="1" applyBorder="1" applyAlignment="1">
      <alignment horizontal="center" wrapText="1"/>
    </xf>
    <xf numFmtId="0" fontId="22" fillId="10" borderId="1" xfId="0" applyFont="1" applyFill="1" applyBorder="1" applyAlignment="1">
      <alignment horizontal="left" vertical="top" wrapText="1" indent="1"/>
    </xf>
    <xf numFmtId="0" fontId="17" fillId="0" borderId="1" xfId="0" applyFont="1" applyBorder="1" applyAlignment="1">
      <alignment horizontal="left" indent="1"/>
    </xf>
    <xf numFmtId="0" fontId="22" fillId="9" borderId="1" xfId="0" applyFont="1" applyFill="1" applyBorder="1" applyAlignment="1">
      <alignment horizontal="center" wrapText="1"/>
    </xf>
    <xf numFmtId="0" fontId="22" fillId="14" borderId="17" xfId="0" applyFont="1" applyFill="1" applyBorder="1" applyAlignment="1">
      <alignment horizontal="center" vertical="center"/>
    </xf>
    <xf numFmtId="0" fontId="22" fillId="14" borderId="15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 wrapText="1"/>
    </xf>
    <xf numFmtId="0" fontId="22" fillId="7" borderId="15" xfId="0" applyFont="1" applyFill="1" applyBorder="1" applyAlignment="1">
      <alignment horizontal="center" vertical="center" wrapText="1"/>
    </xf>
    <xf numFmtId="0" fontId="22" fillId="7" borderId="14" xfId="0" applyFont="1" applyFill="1" applyBorder="1" applyAlignment="1">
      <alignment horizontal="center" vertical="center" wrapText="1"/>
    </xf>
    <xf numFmtId="0" fontId="22" fillId="10" borderId="17" xfId="0" applyFont="1" applyFill="1" applyBorder="1" applyAlignment="1">
      <alignment horizontal="left" vertical="center" wrapText="1" indent="1"/>
    </xf>
    <xf numFmtId="0" fontId="22" fillId="10" borderId="15" xfId="0" applyFont="1" applyFill="1" applyBorder="1" applyAlignment="1">
      <alignment horizontal="left" vertical="center" wrapText="1" indent="1"/>
    </xf>
    <xf numFmtId="0" fontId="22" fillId="10" borderId="14" xfId="0" applyFont="1" applyFill="1" applyBorder="1" applyAlignment="1">
      <alignment horizontal="left" vertical="center" wrapText="1" inden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wrapText="1"/>
    </xf>
    <xf numFmtId="0" fontId="22" fillId="9" borderId="2" xfId="0" applyFont="1" applyFill="1" applyBorder="1" applyAlignment="1">
      <alignment horizontal="center" wrapText="1"/>
    </xf>
    <xf numFmtId="0" fontId="22" fillId="9" borderId="13" xfId="0" applyFont="1" applyFill="1" applyBorder="1" applyAlignment="1">
      <alignment horizontal="center" wrapText="1"/>
    </xf>
    <xf numFmtId="0" fontId="22" fillId="14" borderId="1" xfId="0" applyFont="1" applyFill="1" applyBorder="1" applyAlignment="1">
      <alignment horizontal="center" vertical="center" wrapText="1"/>
    </xf>
    <xf numFmtId="0" fontId="20" fillId="7" borderId="19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center" wrapText="1" indent="1"/>
    </xf>
    <xf numFmtId="0" fontId="22" fillId="0" borderId="15" xfId="0" applyFont="1" applyBorder="1" applyAlignment="1">
      <alignment horizontal="left" vertical="center" wrapText="1" indent="1"/>
    </xf>
    <xf numFmtId="0" fontId="22" fillId="7" borderId="22" xfId="0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5" fillId="0" borderId="24" xfId="38" applyBorder="1" applyAlignment="1">
      <alignment horizontal="center" vertical="center" wrapText="1"/>
    </xf>
    <xf numFmtId="0" fontId="25" fillId="0" borderId="20" xfId="38" applyBorder="1" applyAlignment="1">
      <alignment horizontal="center" vertical="center" wrapText="1"/>
    </xf>
    <xf numFmtId="0" fontId="21" fillId="0" borderId="1" xfId="0" applyFont="1" applyBorder="1" applyAlignment="1"/>
    <xf numFmtId="0" fontId="21" fillId="0" borderId="7" xfId="0" applyFont="1" applyBorder="1" applyAlignment="1"/>
    <xf numFmtId="0" fontId="17" fillId="0" borderId="1" xfId="0" applyFont="1" applyBorder="1" applyAlignment="1"/>
  </cellXfs>
  <cellStyles count="39">
    <cellStyle name="Hyperlink" xfId="38" builtinId="8"/>
    <cellStyle name="Normal" xfId="0" builtinId="0"/>
    <cellStyle name="Normal 2" xfId="23" xr:uid="{00000000-0005-0000-0000-000001000000}"/>
    <cellStyle name="Normal 2 2" xfId="21" xr:uid="{00000000-0005-0000-0000-000002000000}"/>
    <cellStyle name="Normal 2 2 2" xfId="20" xr:uid="{00000000-0005-0000-0000-000003000000}"/>
    <cellStyle name="Normal 2 2 2 2" xfId="36" xr:uid="{00000000-0005-0000-0000-000004000000}"/>
    <cellStyle name="Normal 2 2 2 2 2" xfId="19" xr:uid="{00000000-0005-0000-0000-000005000000}"/>
    <cellStyle name="Normal 2 2 2 3" xfId="22" xr:uid="{00000000-0005-0000-0000-000006000000}"/>
    <cellStyle name="Normal 2 2 3" xfId="18" xr:uid="{00000000-0005-0000-0000-000007000000}"/>
    <cellStyle name="Normal 2 2 3 2" xfId="32" xr:uid="{00000000-0005-0000-0000-000008000000}"/>
    <cellStyle name="Normal 2 2 4" xfId="30" xr:uid="{00000000-0005-0000-0000-000009000000}"/>
    <cellStyle name="Normal 2 3" xfId="17" xr:uid="{00000000-0005-0000-0000-00000A000000}"/>
    <cellStyle name="Normal 2 3 2" xfId="16" xr:uid="{00000000-0005-0000-0000-00000B000000}"/>
    <cellStyle name="Normal 2 3 2 2" xfId="15" xr:uid="{00000000-0005-0000-0000-00000C000000}"/>
    <cellStyle name="Normal 2 3 2 2 2" xfId="26" xr:uid="{00000000-0005-0000-0000-00000D000000}"/>
    <cellStyle name="Normal 2 3 2 3" xfId="14" xr:uid="{00000000-0005-0000-0000-00000E000000}"/>
    <cellStyle name="Normal 2 3 3" xfId="12" xr:uid="{00000000-0005-0000-0000-00000F000000}"/>
    <cellStyle name="Normal 2 3 3 2" xfId="24" xr:uid="{00000000-0005-0000-0000-000010000000}"/>
    <cellStyle name="Normal 2 3 4" xfId="34" xr:uid="{00000000-0005-0000-0000-000011000000}"/>
    <cellStyle name="Normal 2 4" xfId="11" xr:uid="{00000000-0005-0000-0000-000012000000}"/>
    <cellStyle name="Normal 2 4 2" xfId="10" xr:uid="{00000000-0005-0000-0000-000013000000}"/>
    <cellStyle name="Normal 2 4 2 2" xfId="31" xr:uid="{00000000-0005-0000-0000-000014000000}"/>
    <cellStyle name="Normal 2 4 2 2 2" xfId="13" xr:uid="{00000000-0005-0000-0000-000015000000}"/>
    <cellStyle name="Normal 2 4 2 3" xfId="9" xr:uid="{00000000-0005-0000-0000-000016000000}"/>
    <cellStyle name="Normal 2 4 3" xfId="37" xr:uid="{00000000-0005-0000-0000-000017000000}"/>
    <cellStyle name="Normal 2 4 3 2" xfId="8" xr:uid="{00000000-0005-0000-0000-000018000000}"/>
    <cellStyle name="Normal 2 4 4" xfId="7" xr:uid="{00000000-0005-0000-0000-000019000000}"/>
    <cellStyle name="Normal 2 5" xfId="6" xr:uid="{00000000-0005-0000-0000-00001A000000}"/>
    <cellStyle name="Normal 2 5 2" xfId="5" xr:uid="{00000000-0005-0000-0000-00001B000000}"/>
    <cellStyle name="Normal 2 5 2 2" xfId="4" xr:uid="{00000000-0005-0000-0000-00001C000000}"/>
    <cellStyle name="Normal 2 5 3" xfId="35" xr:uid="{00000000-0005-0000-0000-00001D000000}"/>
    <cellStyle name="Normal 2 6" xfId="33" xr:uid="{00000000-0005-0000-0000-00001E000000}"/>
    <cellStyle name="Normal 2 6 2" xfId="3" xr:uid="{00000000-0005-0000-0000-00001F000000}"/>
    <cellStyle name="Normal 2 7" xfId="2" xr:uid="{00000000-0005-0000-0000-000020000000}"/>
    <cellStyle name="Normal 3" xfId="28" xr:uid="{00000000-0005-0000-0000-000021000000}"/>
    <cellStyle name="Normal 3 2" xfId="29" xr:uid="{00000000-0005-0000-0000-000022000000}"/>
    <cellStyle name="Normal 4" xfId="27" xr:uid="{00000000-0005-0000-0000-000023000000}"/>
    <cellStyle name="Normal 4 2" xfId="25" xr:uid="{00000000-0005-0000-0000-000024000000}"/>
    <cellStyle name="Style 1" xfId="1" xr:uid="{00000000-0005-0000-0000-000025000000}"/>
  </cellStyles>
  <dxfs count="2">
    <dxf>
      <font>
        <strike val="0"/>
        <u val="none"/>
        <sz val="10"/>
        <name val="Century Gothic"/>
        <scheme val="none"/>
      </font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sz val="10"/>
        <name val="Century Gothic"/>
        <scheme val="none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D73A29"/>
      <color rgb="FF006C00"/>
      <color rgb="FFFF5050"/>
      <color rgb="FFFF4343"/>
      <color rgb="FF19B737"/>
      <color rgb="FFA4DDF6"/>
      <color rgb="FF90D5F4"/>
      <color rgb="FFFF6600"/>
      <color rgb="FFF57E1B"/>
      <color rgb="FFDC4C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432512</xdr:colOff>
      <xdr:row>0</xdr:row>
      <xdr:rowOff>92334</xdr:rowOff>
    </xdr:from>
    <xdr:to>
      <xdr:col>8</xdr:col>
      <xdr:colOff>58314</xdr:colOff>
      <xdr:row>0</xdr:row>
      <xdr:rowOff>483145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835" y="92075"/>
          <a:ext cx="1972310" cy="390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svelhotmail-my.sharepoint.com/Users/joe/Downloads/D:/Boxes/1Asset/OTJ-ManualEvaltions/iOS/746744_-OTJ-iOSCore-PL3Architect-Set1-EvaluationRubrics-Recipe-V0.1%20(3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svelhotmail-my.sharepoint.com/Users/joe/Downloads/G:/Documents%20and%20Settings/nosiu/mig/doc/Server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s"/>
      <sheetName val="Base Data"/>
      <sheetName val="Sheet1"/>
      <sheetName val="Evaluation Sheet"/>
      <sheetName val="formul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erlist"/>
      <sheetName val="Server HW Details"/>
    </sheetNames>
    <sheetDataSet>
      <sheetData sheetId="0" refreshError="1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B7" totalsRowShown="0">
  <autoFilter ref="A2:B7" xr:uid="{00000000-0009-0000-0100-000002000000}"/>
  <tableColumns count="2">
    <tableColumn id="1" xr3:uid="{00000000-0010-0000-0000-000001000000}" name="Features" dataDxfId="1"/>
    <tableColumn id="2" xr3:uid="{00000000-0010-0000-0000-000002000000}" name="Status" dataDxfId="0">
      <calculatedColumnFormula>IF((D3/C3*100)&gt;=80,"Areas of Excellence",IF(AND((D3/C3*100)&gt;=60,(D3/C3*100)&lt;80),"Areas of improvement","Areas of Focus"))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enkatesh.Bandaru@cognizan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"/>
  <sheetViews>
    <sheetView topLeftCell="C1" zoomScale="98" zoomScaleNormal="98" workbookViewId="0">
      <selection activeCell="E6" sqref="E6:I6"/>
    </sheetView>
  </sheetViews>
  <sheetFormatPr defaultColWidth="9.140625" defaultRowHeight="13.9"/>
  <cols>
    <col min="1" max="1" width="9.140625" style="8"/>
    <col min="2" max="2" width="7.7109375" style="8" customWidth="1"/>
    <col min="3" max="3" width="9.140625" style="8"/>
    <col min="4" max="4" width="8.28515625" style="8" customWidth="1"/>
    <col min="5" max="5" width="9.140625" style="8"/>
    <col min="6" max="6" width="7" style="8" customWidth="1"/>
    <col min="7" max="7" width="7.7109375" style="8" customWidth="1"/>
    <col min="8" max="8" width="9.140625" style="8" customWidth="1"/>
    <col min="9" max="9" width="2.28515625" style="8" customWidth="1"/>
    <col min="10" max="10" width="8" style="8" customWidth="1"/>
    <col min="11" max="11" width="39.28515625" style="8" customWidth="1"/>
    <col min="12" max="15" width="9.140625" style="8"/>
    <col min="16" max="17" width="9.140625" style="8" customWidth="1"/>
    <col min="18" max="16384" width="9.140625" style="8"/>
  </cols>
  <sheetData>
    <row r="1" spans="1:11" ht="45.7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0.25" customHeight="1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ht="20.25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22.5" customHeight="1">
      <c r="A4" s="64" t="s">
        <v>1</v>
      </c>
      <c r="B4" s="64"/>
      <c r="C4" s="64"/>
      <c r="D4" s="64"/>
      <c r="E4" s="64" t="s">
        <v>2</v>
      </c>
      <c r="F4" s="64"/>
      <c r="G4" s="64"/>
      <c r="H4" s="64"/>
      <c r="I4" s="64"/>
      <c r="J4" s="64" t="s">
        <v>3</v>
      </c>
      <c r="K4" s="64"/>
    </row>
    <row r="5" spans="1:11" ht="22.5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36.75" customHeight="1">
      <c r="A6" s="72">
        <v>2081120</v>
      </c>
      <c r="B6" s="72"/>
      <c r="C6" s="72"/>
      <c r="D6" s="72"/>
      <c r="E6" s="73" t="s">
        <v>4</v>
      </c>
      <c r="F6" s="128"/>
      <c r="G6" s="128"/>
      <c r="H6" s="128"/>
      <c r="I6" s="129"/>
      <c r="J6" s="74" t="s">
        <v>5</v>
      </c>
      <c r="K6" s="75"/>
    </row>
    <row r="7" spans="1:11" ht="28.15" customHeight="1">
      <c r="A7" s="76" t="s">
        <v>6</v>
      </c>
      <c r="B7" s="76"/>
      <c r="C7" s="76"/>
      <c r="D7" s="76"/>
      <c r="E7" s="77" t="s">
        <v>7</v>
      </c>
      <c r="F7" s="77"/>
      <c r="G7" s="77"/>
      <c r="H7" s="77"/>
      <c r="I7" s="77"/>
      <c r="J7" s="77"/>
      <c r="K7" s="77"/>
    </row>
    <row r="8" spans="1:11" ht="13.5" customHeight="1">
      <c r="A8" s="62" t="s">
        <v>8</v>
      </c>
      <c r="B8" s="62"/>
      <c r="C8" s="62"/>
      <c r="D8" s="62"/>
      <c r="E8" s="62"/>
      <c r="F8" s="62"/>
      <c r="G8" s="62"/>
      <c r="H8" s="62"/>
      <c r="I8" s="62"/>
      <c r="J8" s="62"/>
      <c r="K8" s="62"/>
    </row>
    <row r="9" spans="1:11" ht="12.75" customHeight="1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</row>
    <row r="10" spans="1:11" ht="34.9" customHeight="1">
      <c r="A10" s="68" t="str">
        <f>IF(('Metric Test Case'!G101)&gt;60,"COMPLETED","Not COMPLETED")</f>
        <v>Not COMPLETED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</row>
    <row r="11" spans="1:11" ht="16.899999999999999">
      <c r="A11" s="69" t="s">
        <v>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</row>
    <row r="12" spans="1:11" ht="29.25" customHeight="1">
      <c r="A12" s="70" t="s">
        <v>10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</row>
    <row r="13" spans="1:11" ht="16.899999999999999">
      <c r="A13" s="61" t="s">
        <v>11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</row>
    <row r="14" spans="1:11" ht="12.75" customHeight="1">
      <c r="A14" s="67" t="str">
        <f>SUBSTITUTE(SUBSTITUTE(SUBSTITUTE(SUBSTITUTE(CONCATENATE(
IF('Skill Cluster'!B3="Areas of Excellence",'Skill Cluster'!A3),", ",
IF('Skill Cluster'!B4="Areas of Excellence",'Skill Cluster'!A4),", ",
IF('Skill Cluster'!B5="Areas of Excellence",'Skill Cluster'!A5),", ",
IF('Skill Cluster'!B6="Areas of Excellence",'Skill Cluster'!A6),", ",
IF('Skill Cluster'!B7="Areas of Excellence",'Skill Cluster'!A7)
)," FALSE,",""),", FALSE",""),"FALSE, ",""),"FALSE","")</f>
        <v/>
      </c>
      <c r="B14" s="67"/>
      <c r="C14" s="67"/>
      <c r="D14" s="67"/>
      <c r="E14" s="67"/>
      <c r="F14" s="67"/>
      <c r="G14" s="67"/>
      <c r="H14" s="67"/>
      <c r="I14" s="67"/>
      <c r="J14" s="67"/>
      <c r="K14" s="67"/>
    </row>
    <row r="15" spans="1:11" ht="12.75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2.75" customHeight="1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</row>
    <row r="17" spans="1:11" ht="18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ht="16.899999999999999">
      <c r="A18" s="61" t="s">
        <v>12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</row>
    <row r="19" spans="1:11" ht="12.75" customHeight="1">
      <c r="A19" s="66" t="str">
        <f>SUBSTITUTE(SUBSTITUTE(SUBSTITUTE(SUBSTITUTE(CONCATENATE(
IF('Skill Cluster'!B3="Areas of Improvement",'Skill Cluster'!A3),", ",
IF('Skill Cluster'!B4="Areas of Improvement",'Skill Cluster'!A4),", ",
IF('Skill Cluster'!B5="Areas of Improvement",'Skill Cluster'!A5),", ",
IF('Skill Cluster'!B6="Areas of Improvement",'Skill Cluster'!A6),", ",
IF('Skill Cluster'!B7="Areas of Improvement",'Skill Cluster'!A7)
)," FALSE,",""),", FALSE",""),"FALSE, ",""),"FALSE","")</f>
        <v>Develop User interfaces for all the pages, API Implementations, Developing Reusable Components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</row>
    <row r="20" spans="1:11" ht="12.75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</row>
    <row r="21" spans="1:11" ht="12.7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</row>
    <row r="22" spans="1:11" ht="12.7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</row>
    <row r="23" spans="1:11" ht="9.7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</row>
    <row r="24" spans="1:11" ht="22.5" customHeight="1">
      <c r="A24" s="61" t="s">
        <v>13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</row>
    <row r="25" spans="1:11" ht="22.5" customHeight="1">
      <c r="A25" s="65" t="str">
        <f>SUBSTITUTE(SUBSTITUTE(SUBSTITUTE(SUBSTITUTE(CONCATENATE(
IF('Skill Cluster'!B3="Areas of Focus",'Skill Cluster'!A3),", ",
IF('Skill Cluster'!B4="Areas of Focus",'Skill Cluster'!A4),", ",
IF('Skill Cluster'!B5="Areas of Focus",'Skill Cluster'!A5),", ",
IF('Skill Cluster'!B6="Areas of Focus",'Skill Cluster'!A6),", ",
IF('Skill Cluster'!B7="Areas of Focus",'Skill Cluster'!A7)
)," FALSE,",""),", FALSE",""),"FALSE, ",""),"FALSE","")</f>
        <v>Functionalities,  Performance Best practices / Others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</row>
    <row r="26" spans="1:1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</row>
    <row r="27" spans="1:1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</row>
    <row r="28" spans="1:1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</row>
    <row r="29" spans="1:1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</row>
  </sheetData>
  <mergeCells count="20">
    <mergeCell ref="A1:K1"/>
    <mergeCell ref="A6:D6"/>
    <mergeCell ref="E6:I6"/>
    <mergeCell ref="J6:K6"/>
    <mergeCell ref="A7:D7"/>
    <mergeCell ref="E7:K7"/>
    <mergeCell ref="A24:K24"/>
    <mergeCell ref="A8:K9"/>
    <mergeCell ref="A2:K3"/>
    <mergeCell ref="A4:D5"/>
    <mergeCell ref="A25:K29"/>
    <mergeCell ref="E4:I5"/>
    <mergeCell ref="J4:K5"/>
    <mergeCell ref="A19:K23"/>
    <mergeCell ref="A14:K17"/>
    <mergeCell ref="A10:K10"/>
    <mergeCell ref="A11:K11"/>
    <mergeCell ref="A12:K12"/>
    <mergeCell ref="A13:K13"/>
    <mergeCell ref="A18:K18"/>
  </mergeCells>
  <hyperlinks>
    <hyperlink ref="E6:I6" r:id="rId1" display="Venkatesh.Bandaru@cognizant.com" xr:uid="{ED837C38-980D-414B-AF48-99ACAD617827}"/>
  </hyperlinks>
  <pageMargins left="1.1811023622047201" right="0.31496062992126" top="0" bottom="0" header="0.511811023622047" footer="0.31496062992126"/>
  <pageSetup fitToWidth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zoomScale="85" zoomScaleNormal="85" workbookViewId="0">
      <pane ySplit="1" topLeftCell="A2" activePane="bottomLeft" state="frozen"/>
      <selection pane="bottomLeft" activeCell="C9" sqref="C9"/>
    </sheetView>
  </sheetViews>
  <sheetFormatPr defaultColWidth="9.140625" defaultRowHeight="30" customHeight="1"/>
  <cols>
    <col min="1" max="1" width="14.28515625" style="33" customWidth="1"/>
    <col min="2" max="2" width="22.7109375" style="34" customWidth="1"/>
    <col min="3" max="3" width="60.7109375" style="34" customWidth="1"/>
    <col min="4" max="4" width="11.28515625" style="35" customWidth="1"/>
    <col min="5" max="5" width="53.7109375" style="55" customWidth="1"/>
    <col min="6" max="6" width="25.28515625" style="36" customWidth="1"/>
    <col min="7" max="7" width="13" style="47" customWidth="1"/>
    <col min="8" max="8" width="38.28515625" style="10" customWidth="1"/>
    <col min="9" max="9" width="8.7109375" style="10"/>
    <col min="10" max="10" width="0" style="10" hidden="1" customWidth="1"/>
    <col min="11" max="11" width="8.7109375" style="10"/>
    <col min="12" max="13" width="8.7109375" style="10" hidden="1" customWidth="1"/>
    <col min="14" max="16384" width="9.140625" style="10"/>
  </cols>
  <sheetData>
    <row r="1" spans="1:13" ht="22.5" customHeight="1">
      <c r="A1" s="112" t="s">
        <v>14</v>
      </c>
      <c r="B1" s="112"/>
      <c r="C1" s="112"/>
      <c r="D1" s="112"/>
      <c r="E1" s="112"/>
      <c r="F1" s="112"/>
      <c r="G1" s="112"/>
      <c r="H1" s="112"/>
      <c r="J1" s="10">
        <v>0.5</v>
      </c>
      <c r="L1" s="10" t="s">
        <v>15</v>
      </c>
      <c r="M1" s="10">
        <v>0.5</v>
      </c>
    </row>
    <row r="2" spans="1:13" ht="30" customHeight="1">
      <c r="A2" s="81" t="s">
        <v>16</v>
      </c>
      <c r="B2" s="81" t="s">
        <v>17</v>
      </c>
      <c r="C2" s="81" t="s">
        <v>18</v>
      </c>
      <c r="D2" s="81" t="s">
        <v>19</v>
      </c>
      <c r="E2" s="83" t="s">
        <v>20</v>
      </c>
      <c r="F2" s="123" t="s">
        <v>21</v>
      </c>
      <c r="G2" s="125"/>
      <c r="H2" s="123" t="s">
        <v>22</v>
      </c>
    </row>
    <row r="3" spans="1:13" ht="13.9">
      <c r="A3" s="85"/>
      <c r="B3" s="85"/>
      <c r="C3" s="85"/>
      <c r="D3" s="82"/>
      <c r="E3" s="84"/>
      <c r="F3" s="124"/>
      <c r="G3" s="126"/>
      <c r="H3" s="124"/>
    </row>
    <row r="4" spans="1:13" ht="33" customHeight="1">
      <c r="A4" s="120" t="s">
        <v>23</v>
      </c>
      <c r="B4" s="110" t="s">
        <v>24</v>
      </c>
      <c r="C4" s="117"/>
      <c r="D4" s="11">
        <f>SUM(D5:D33)</f>
        <v>30</v>
      </c>
      <c r="E4" s="48"/>
      <c r="F4" s="12" t="s">
        <v>25</v>
      </c>
      <c r="G4" s="11">
        <f>SUM(G5:G33)</f>
        <v>23</v>
      </c>
      <c r="H4" s="13"/>
    </row>
    <row r="5" spans="1:13" ht="71.25" customHeight="1">
      <c r="A5" s="121"/>
      <c r="B5" s="42" t="s">
        <v>26</v>
      </c>
      <c r="C5" s="14" t="s">
        <v>27</v>
      </c>
      <c r="D5" s="15">
        <v>2</v>
      </c>
      <c r="E5" s="78" t="s">
        <v>28</v>
      </c>
      <c r="F5" s="16" t="s">
        <v>29</v>
      </c>
      <c r="G5" s="43">
        <f t="shared" ref="G5:G33" si="0">IF(F5="PASS",$D5,IF(F5="Alternate Approach/Partial Implementation",($J$1*$D5),0))</f>
        <v>2</v>
      </c>
      <c r="H5" s="17"/>
    </row>
    <row r="6" spans="1:13" ht="41.45">
      <c r="A6" s="121"/>
      <c r="B6" s="116" t="s">
        <v>30</v>
      </c>
      <c r="C6" s="14" t="s">
        <v>31</v>
      </c>
      <c r="D6" s="15">
        <v>1</v>
      </c>
      <c r="E6" s="79"/>
      <c r="F6" s="16" t="s">
        <v>29</v>
      </c>
      <c r="G6" s="43">
        <f t="shared" si="0"/>
        <v>1</v>
      </c>
      <c r="H6" s="17"/>
    </row>
    <row r="7" spans="1:13" ht="27.6">
      <c r="A7" s="121"/>
      <c r="B7" s="116"/>
      <c r="C7" s="14" t="s">
        <v>32</v>
      </c>
      <c r="D7" s="15">
        <v>1</v>
      </c>
      <c r="E7" s="79"/>
      <c r="F7" s="16" t="s">
        <v>29</v>
      </c>
      <c r="G7" s="43">
        <f t="shared" si="0"/>
        <v>1</v>
      </c>
      <c r="H7" s="17"/>
    </row>
    <row r="8" spans="1:13" ht="41.45">
      <c r="A8" s="121"/>
      <c r="B8" s="116"/>
      <c r="C8" s="14" t="s">
        <v>33</v>
      </c>
      <c r="D8" s="15">
        <v>1</v>
      </c>
      <c r="E8" s="79"/>
      <c r="F8" s="16" t="s">
        <v>29</v>
      </c>
      <c r="G8" s="43">
        <f t="shared" si="0"/>
        <v>1</v>
      </c>
      <c r="H8" s="17"/>
    </row>
    <row r="9" spans="1:13" ht="41.45">
      <c r="A9" s="121"/>
      <c r="B9" s="116"/>
      <c r="C9" s="19" t="s">
        <v>34</v>
      </c>
      <c r="D9" s="15">
        <v>1</v>
      </c>
      <c r="E9" s="79"/>
      <c r="F9" s="16" t="s">
        <v>29</v>
      </c>
      <c r="G9" s="43">
        <f>IF(F9="PASS",$D9,IF(F9="Alternate Approach/Partial Implementation",($J$1*$D9),0))</f>
        <v>1</v>
      </c>
      <c r="H9" s="17"/>
    </row>
    <row r="10" spans="1:13" ht="41.45">
      <c r="A10" s="121"/>
      <c r="B10" s="116"/>
      <c r="C10" s="19" t="s">
        <v>35</v>
      </c>
      <c r="D10" s="15">
        <v>1</v>
      </c>
      <c r="E10" s="79"/>
      <c r="F10" s="16" t="s">
        <v>29</v>
      </c>
      <c r="G10" s="43">
        <f t="shared" ref="G10:G11" si="1">IF(F10="PASS",$D10,IF(F10="Alternate Approach/Partial Implementation",($J$1*$D10),0))</f>
        <v>1</v>
      </c>
      <c r="H10" s="17"/>
    </row>
    <row r="11" spans="1:13" ht="27.6">
      <c r="A11" s="121"/>
      <c r="B11" s="116"/>
      <c r="C11" s="19" t="s">
        <v>36</v>
      </c>
      <c r="D11" s="15">
        <v>1</v>
      </c>
      <c r="E11" s="79"/>
      <c r="F11" s="16" t="s">
        <v>29</v>
      </c>
      <c r="G11" s="43">
        <f t="shared" si="1"/>
        <v>1</v>
      </c>
      <c r="H11" s="17"/>
    </row>
    <row r="12" spans="1:13" ht="42.75" customHeight="1">
      <c r="A12" s="121"/>
      <c r="B12" s="88" t="s">
        <v>37</v>
      </c>
      <c r="C12" s="19" t="s">
        <v>38</v>
      </c>
      <c r="D12" s="15">
        <v>1</v>
      </c>
      <c r="E12" s="79"/>
      <c r="F12" s="16" t="s">
        <v>29</v>
      </c>
      <c r="G12" s="43">
        <f t="shared" si="0"/>
        <v>1</v>
      </c>
      <c r="H12" s="17"/>
    </row>
    <row r="13" spans="1:13" ht="41.45">
      <c r="A13" s="121"/>
      <c r="B13" s="89"/>
      <c r="C13" s="14" t="s">
        <v>39</v>
      </c>
      <c r="D13" s="15">
        <v>1</v>
      </c>
      <c r="E13" s="79"/>
      <c r="F13" s="16" t="s">
        <v>29</v>
      </c>
      <c r="G13" s="43">
        <f t="shared" si="0"/>
        <v>1</v>
      </c>
      <c r="H13" s="17"/>
    </row>
    <row r="14" spans="1:13" ht="41.45">
      <c r="A14" s="121"/>
      <c r="B14" s="89"/>
      <c r="C14" s="14" t="s">
        <v>40</v>
      </c>
      <c r="D14" s="15">
        <v>1</v>
      </c>
      <c r="E14" s="79"/>
      <c r="F14" s="16" t="s">
        <v>29</v>
      </c>
      <c r="G14" s="43">
        <f t="shared" si="0"/>
        <v>1</v>
      </c>
      <c r="H14" s="17"/>
    </row>
    <row r="15" spans="1:13" ht="69">
      <c r="A15" s="121"/>
      <c r="B15" s="89"/>
      <c r="C15" s="14" t="s">
        <v>41</v>
      </c>
      <c r="D15" s="15">
        <v>1</v>
      </c>
      <c r="E15" s="79"/>
      <c r="F15" s="16" t="s">
        <v>42</v>
      </c>
      <c r="G15" s="43">
        <f t="shared" si="0"/>
        <v>0</v>
      </c>
      <c r="H15" s="17" t="s">
        <v>43</v>
      </c>
    </row>
    <row r="16" spans="1:13" ht="69">
      <c r="A16" s="121"/>
      <c r="B16" s="89"/>
      <c r="C16" s="14" t="s">
        <v>44</v>
      </c>
      <c r="D16" s="15">
        <v>1</v>
      </c>
      <c r="E16" s="79"/>
      <c r="F16" s="16" t="s">
        <v>42</v>
      </c>
      <c r="G16" s="43">
        <f t="shared" si="0"/>
        <v>0</v>
      </c>
      <c r="H16" s="17" t="s">
        <v>43</v>
      </c>
    </row>
    <row r="17" spans="1:8" ht="27.6">
      <c r="A17" s="121"/>
      <c r="B17" s="116" t="s">
        <v>45</v>
      </c>
      <c r="C17" s="18" t="s">
        <v>46</v>
      </c>
      <c r="D17" s="15">
        <v>1</v>
      </c>
      <c r="E17" s="79"/>
      <c r="F17" s="16" t="s">
        <v>29</v>
      </c>
      <c r="G17" s="43">
        <f t="shared" si="0"/>
        <v>1</v>
      </c>
      <c r="H17" s="17"/>
    </row>
    <row r="18" spans="1:8" ht="69">
      <c r="A18" s="121"/>
      <c r="B18" s="116"/>
      <c r="C18" s="18" t="s">
        <v>47</v>
      </c>
      <c r="D18" s="15">
        <v>1</v>
      </c>
      <c r="E18" s="79"/>
      <c r="F18" s="16" t="s">
        <v>42</v>
      </c>
      <c r="G18" s="43">
        <f t="shared" si="0"/>
        <v>0</v>
      </c>
      <c r="H18" s="17" t="s">
        <v>48</v>
      </c>
    </row>
    <row r="19" spans="1:8" ht="41.45">
      <c r="A19" s="121"/>
      <c r="B19" s="116"/>
      <c r="C19" s="18" t="s">
        <v>49</v>
      </c>
      <c r="D19" s="15">
        <v>1</v>
      </c>
      <c r="E19" s="79"/>
      <c r="F19" s="16" t="s">
        <v>50</v>
      </c>
      <c r="G19" s="43">
        <f t="shared" si="0"/>
        <v>0.5</v>
      </c>
      <c r="H19" s="17" t="s">
        <v>51</v>
      </c>
    </row>
    <row r="20" spans="1:8" ht="41.45">
      <c r="A20" s="121"/>
      <c r="B20" s="116"/>
      <c r="C20" s="18" t="s">
        <v>52</v>
      </c>
      <c r="D20" s="15">
        <v>1</v>
      </c>
      <c r="E20" s="79"/>
      <c r="F20" s="16" t="s">
        <v>29</v>
      </c>
      <c r="G20" s="43">
        <f t="shared" si="0"/>
        <v>1</v>
      </c>
      <c r="H20" s="17"/>
    </row>
    <row r="21" spans="1:8" ht="27.6">
      <c r="A21" s="121"/>
      <c r="B21" s="116"/>
      <c r="C21" s="18" t="s">
        <v>53</v>
      </c>
      <c r="D21" s="15">
        <v>1</v>
      </c>
      <c r="E21" s="79"/>
      <c r="F21" s="16" t="s">
        <v>29</v>
      </c>
      <c r="G21" s="43">
        <f t="shared" si="0"/>
        <v>1</v>
      </c>
      <c r="H21" s="17"/>
    </row>
    <row r="22" spans="1:8" ht="27.6">
      <c r="A22" s="121"/>
      <c r="B22" s="88" t="s">
        <v>54</v>
      </c>
      <c r="C22" s="19" t="s">
        <v>55</v>
      </c>
      <c r="D22" s="20">
        <v>1</v>
      </c>
      <c r="E22" s="79"/>
      <c r="F22" s="16" t="s">
        <v>29</v>
      </c>
      <c r="G22" s="43">
        <f t="shared" si="0"/>
        <v>1</v>
      </c>
      <c r="H22" s="17"/>
    </row>
    <row r="23" spans="1:8" ht="41.45">
      <c r="A23" s="121"/>
      <c r="B23" s="89"/>
      <c r="C23" s="19" t="s">
        <v>56</v>
      </c>
      <c r="D23" s="20">
        <v>1</v>
      </c>
      <c r="E23" s="79"/>
      <c r="F23" s="16" t="s">
        <v>42</v>
      </c>
      <c r="G23" s="43">
        <f t="shared" si="0"/>
        <v>0</v>
      </c>
      <c r="H23" s="17" t="s">
        <v>57</v>
      </c>
    </row>
    <row r="24" spans="1:8" ht="27.6">
      <c r="A24" s="121"/>
      <c r="B24" s="89"/>
      <c r="C24" s="19" t="s">
        <v>58</v>
      </c>
      <c r="D24" s="20">
        <v>1</v>
      </c>
      <c r="E24" s="79"/>
      <c r="F24" s="16" t="s">
        <v>42</v>
      </c>
      <c r="G24" s="43">
        <f t="shared" si="0"/>
        <v>0</v>
      </c>
      <c r="H24" s="17" t="s">
        <v>59</v>
      </c>
    </row>
    <row r="25" spans="1:8" ht="41.45">
      <c r="A25" s="121"/>
      <c r="B25" s="89"/>
      <c r="C25" s="19" t="s">
        <v>60</v>
      </c>
      <c r="D25" s="20">
        <v>1</v>
      </c>
      <c r="E25" s="79"/>
      <c r="F25" s="16" t="s">
        <v>29</v>
      </c>
      <c r="G25" s="43">
        <f t="shared" si="0"/>
        <v>1</v>
      </c>
      <c r="H25" s="17"/>
    </row>
    <row r="26" spans="1:8" ht="27.6">
      <c r="A26" s="121"/>
      <c r="B26" s="90"/>
      <c r="C26" s="19" t="s">
        <v>61</v>
      </c>
      <c r="D26" s="20">
        <v>1</v>
      </c>
      <c r="E26" s="79"/>
      <c r="F26" s="16" t="s">
        <v>29</v>
      </c>
      <c r="G26" s="43">
        <f t="shared" si="0"/>
        <v>1</v>
      </c>
      <c r="H26" s="17"/>
    </row>
    <row r="27" spans="1:8" ht="27.6">
      <c r="A27" s="121"/>
      <c r="B27" s="88" t="s">
        <v>62</v>
      </c>
      <c r="C27" s="14" t="s">
        <v>63</v>
      </c>
      <c r="D27" s="20">
        <v>1</v>
      </c>
      <c r="E27" s="79"/>
      <c r="F27" s="16" t="s">
        <v>29</v>
      </c>
      <c r="G27" s="43">
        <f t="shared" si="0"/>
        <v>1</v>
      </c>
      <c r="H27" s="17"/>
    </row>
    <row r="28" spans="1:8" ht="41.45">
      <c r="A28" s="121"/>
      <c r="B28" s="90"/>
      <c r="C28" s="14" t="s">
        <v>64</v>
      </c>
      <c r="D28" s="20">
        <v>1</v>
      </c>
      <c r="E28" s="79"/>
      <c r="F28" s="16" t="s">
        <v>29</v>
      </c>
      <c r="G28" s="43">
        <f t="shared" si="0"/>
        <v>1</v>
      </c>
      <c r="H28" s="17"/>
    </row>
    <row r="29" spans="1:8" ht="41.45">
      <c r="A29" s="121"/>
      <c r="B29" s="88" t="s">
        <v>65</v>
      </c>
      <c r="C29" s="14" t="s">
        <v>66</v>
      </c>
      <c r="D29" s="20">
        <v>1</v>
      </c>
      <c r="E29" s="79"/>
      <c r="F29" s="16" t="s">
        <v>29</v>
      </c>
      <c r="G29" s="43">
        <f t="shared" si="0"/>
        <v>1</v>
      </c>
      <c r="H29" s="17"/>
    </row>
    <row r="30" spans="1:8" ht="41.45">
      <c r="A30" s="121"/>
      <c r="B30" s="89"/>
      <c r="C30" s="14" t="s">
        <v>67</v>
      </c>
      <c r="D30" s="20">
        <v>1</v>
      </c>
      <c r="E30" s="79"/>
      <c r="F30" s="16" t="s">
        <v>50</v>
      </c>
      <c r="G30" s="43">
        <f t="shared" si="0"/>
        <v>0.5</v>
      </c>
      <c r="H30" s="17" t="s">
        <v>68</v>
      </c>
    </row>
    <row r="31" spans="1:8" ht="27.6">
      <c r="A31" s="121"/>
      <c r="B31" s="89"/>
      <c r="C31" s="14" t="s">
        <v>69</v>
      </c>
      <c r="D31" s="20">
        <v>1</v>
      </c>
      <c r="E31" s="79"/>
      <c r="F31" s="16" t="s">
        <v>29</v>
      </c>
      <c r="G31" s="43">
        <f t="shared" si="0"/>
        <v>1</v>
      </c>
      <c r="H31" s="17"/>
    </row>
    <row r="32" spans="1:8" ht="41.45">
      <c r="A32" s="121"/>
      <c r="B32" s="89"/>
      <c r="C32" s="14" t="s">
        <v>70</v>
      </c>
      <c r="D32" s="20">
        <v>1</v>
      </c>
      <c r="E32" s="79"/>
      <c r="F32" s="16" t="s">
        <v>29</v>
      </c>
      <c r="G32" s="43">
        <f t="shared" si="0"/>
        <v>1</v>
      </c>
      <c r="H32" s="17"/>
    </row>
    <row r="33" spans="1:8" ht="41.45">
      <c r="A33" s="122"/>
      <c r="B33" s="90"/>
      <c r="C33" s="14" t="s">
        <v>71</v>
      </c>
      <c r="D33" s="20">
        <v>1</v>
      </c>
      <c r="E33" s="80"/>
      <c r="F33" s="16" t="s">
        <v>42</v>
      </c>
      <c r="G33" s="43">
        <f t="shared" si="0"/>
        <v>0</v>
      </c>
      <c r="H33" s="17" t="s">
        <v>72</v>
      </c>
    </row>
    <row r="34" spans="1:8" ht="5.25" customHeight="1">
      <c r="A34" s="21"/>
      <c r="B34" s="21"/>
      <c r="C34" s="21"/>
      <c r="D34" s="21"/>
      <c r="E34" s="49"/>
      <c r="F34" s="21"/>
      <c r="G34" s="44"/>
      <c r="H34" s="21"/>
    </row>
    <row r="35" spans="1:8" ht="38.25" customHeight="1">
      <c r="A35" s="127" t="s">
        <v>73</v>
      </c>
      <c r="B35" s="86" t="s">
        <v>74</v>
      </c>
      <c r="C35" s="87"/>
      <c r="D35" s="22">
        <f>SUM(D36:D46)</f>
        <v>10</v>
      </c>
      <c r="E35" s="50"/>
      <c r="F35" s="23"/>
      <c r="G35" s="45">
        <f>SUM(G36:G46)</f>
        <v>6.5</v>
      </c>
      <c r="H35" s="17"/>
    </row>
    <row r="36" spans="1:8" ht="13.9">
      <c r="A36" s="130"/>
      <c r="B36" s="19" t="s">
        <v>75</v>
      </c>
      <c r="C36" s="19" t="s">
        <v>76</v>
      </c>
      <c r="D36" s="15">
        <v>1</v>
      </c>
      <c r="E36" s="118" t="s">
        <v>77</v>
      </c>
      <c r="F36" s="16" t="s">
        <v>29</v>
      </c>
      <c r="G36" s="43">
        <f t="shared" ref="G36:G46" si="2">IF(F36="PASS",$D36,IF(F36="Alternate Approach/Partial Implementation",($J$1*$D36),0))</f>
        <v>1</v>
      </c>
      <c r="H36" s="17"/>
    </row>
    <row r="37" spans="1:8" ht="13.9">
      <c r="A37" s="130"/>
      <c r="B37" s="19" t="s">
        <v>78</v>
      </c>
      <c r="C37" s="19" t="s">
        <v>79</v>
      </c>
      <c r="D37" s="15">
        <v>1</v>
      </c>
      <c r="E37" s="119"/>
      <c r="F37" s="16" t="s">
        <v>29</v>
      </c>
      <c r="G37" s="43">
        <f t="shared" si="2"/>
        <v>1</v>
      </c>
      <c r="H37" s="17"/>
    </row>
    <row r="38" spans="1:8" ht="24.75" customHeight="1">
      <c r="A38" s="130"/>
      <c r="B38" s="19" t="s">
        <v>80</v>
      </c>
      <c r="C38" s="19" t="s">
        <v>81</v>
      </c>
      <c r="D38" s="15">
        <v>1</v>
      </c>
      <c r="E38" s="119"/>
      <c r="F38" s="16" t="s">
        <v>29</v>
      </c>
      <c r="G38" s="43">
        <f t="shared" si="2"/>
        <v>1</v>
      </c>
      <c r="H38" s="17"/>
    </row>
    <row r="39" spans="1:8" ht="13.9">
      <c r="A39" s="130"/>
      <c r="B39" s="19" t="s">
        <v>82</v>
      </c>
      <c r="C39" s="19" t="s">
        <v>83</v>
      </c>
      <c r="D39" s="15">
        <v>1</v>
      </c>
      <c r="E39" s="119"/>
      <c r="F39" s="16" t="s">
        <v>29</v>
      </c>
      <c r="G39" s="43">
        <f t="shared" si="2"/>
        <v>1</v>
      </c>
      <c r="H39" s="17"/>
    </row>
    <row r="40" spans="1:8" ht="13.9">
      <c r="A40" s="130"/>
      <c r="B40" s="19" t="s">
        <v>84</v>
      </c>
      <c r="C40" s="19" t="s">
        <v>85</v>
      </c>
      <c r="D40" s="15">
        <v>1</v>
      </c>
      <c r="E40" s="119"/>
      <c r="F40" s="16" t="s">
        <v>42</v>
      </c>
      <c r="G40" s="43">
        <f t="shared" si="2"/>
        <v>0</v>
      </c>
      <c r="H40" s="17" t="s">
        <v>86</v>
      </c>
    </row>
    <row r="41" spans="1:8" ht="27.6">
      <c r="A41" s="130"/>
      <c r="B41" s="19" t="s">
        <v>87</v>
      </c>
      <c r="C41" s="19" t="s">
        <v>88</v>
      </c>
      <c r="D41" s="15">
        <v>1</v>
      </c>
      <c r="E41" s="119"/>
      <c r="F41" s="16" t="s">
        <v>29</v>
      </c>
      <c r="G41" s="43">
        <f t="shared" si="2"/>
        <v>1</v>
      </c>
      <c r="H41" s="17"/>
    </row>
    <row r="42" spans="1:8" ht="27.6">
      <c r="A42" s="130"/>
      <c r="B42" s="19" t="s">
        <v>89</v>
      </c>
      <c r="C42" s="19" t="s">
        <v>90</v>
      </c>
      <c r="D42" s="15">
        <v>1</v>
      </c>
      <c r="E42" s="119"/>
      <c r="F42" s="16" t="s">
        <v>29</v>
      </c>
      <c r="G42" s="43">
        <f t="shared" si="2"/>
        <v>1</v>
      </c>
      <c r="H42" s="17"/>
    </row>
    <row r="43" spans="1:8" ht="27.6">
      <c r="A43" s="130"/>
      <c r="B43" s="19" t="s">
        <v>91</v>
      </c>
      <c r="C43" s="19" t="s">
        <v>92</v>
      </c>
      <c r="D43" s="15">
        <v>1</v>
      </c>
      <c r="E43" s="119"/>
      <c r="F43" s="16" t="s">
        <v>42</v>
      </c>
      <c r="G43" s="43">
        <f t="shared" si="2"/>
        <v>0</v>
      </c>
      <c r="H43" s="17" t="s">
        <v>86</v>
      </c>
    </row>
    <row r="44" spans="1:8" ht="27.6">
      <c r="A44" s="130"/>
      <c r="B44" s="19" t="s">
        <v>93</v>
      </c>
      <c r="C44" s="19" t="s">
        <v>94</v>
      </c>
      <c r="D44" s="15">
        <v>1</v>
      </c>
      <c r="E44" s="119"/>
      <c r="F44" s="16" t="s">
        <v>42</v>
      </c>
      <c r="G44" s="43">
        <f t="shared" si="2"/>
        <v>0</v>
      </c>
      <c r="H44" s="17" t="s">
        <v>86</v>
      </c>
    </row>
    <row r="45" spans="1:8" ht="27.6">
      <c r="A45" s="130"/>
      <c r="B45" s="19" t="s">
        <v>95</v>
      </c>
      <c r="C45" s="19" t="s">
        <v>96</v>
      </c>
      <c r="D45" s="15">
        <v>0.5</v>
      </c>
      <c r="E45" s="119"/>
      <c r="F45" s="16" t="s">
        <v>29</v>
      </c>
      <c r="G45" s="43">
        <f t="shared" si="2"/>
        <v>0.5</v>
      </c>
      <c r="H45" s="17"/>
    </row>
    <row r="46" spans="1:8" ht="27.6">
      <c r="A46" s="130"/>
      <c r="B46" s="19" t="s">
        <v>97</v>
      </c>
      <c r="C46" s="19" t="s">
        <v>98</v>
      </c>
      <c r="D46" s="15">
        <v>0.5</v>
      </c>
      <c r="E46" s="119"/>
      <c r="F46" s="16" t="s">
        <v>42</v>
      </c>
      <c r="G46" s="43">
        <f t="shared" si="2"/>
        <v>0</v>
      </c>
      <c r="H46" s="17" t="s">
        <v>86</v>
      </c>
    </row>
    <row r="47" spans="1:8" ht="5.25" customHeight="1">
      <c r="A47" s="113"/>
      <c r="B47" s="114"/>
      <c r="C47" s="114"/>
      <c r="D47" s="114"/>
      <c r="E47" s="114"/>
      <c r="F47" s="114"/>
      <c r="G47" s="114"/>
      <c r="H47" s="115"/>
    </row>
    <row r="48" spans="1:8" ht="38.65" customHeight="1">
      <c r="A48" s="109" t="s">
        <v>99</v>
      </c>
      <c r="B48" s="110" t="s">
        <v>100</v>
      </c>
      <c r="C48" s="111"/>
      <c r="D48" s="56">
        <f>SUM(D49:D88)</f>
        <v>40</v>
      </c>
      <c r="E48" s="51"/>
      <c r="F48" s="24"/>
      <c r="G48" s="56">
        <f>SUM(G49:G88)</f>
        <v>16</v>
      </c>
      <c r="H48" s="25">
        <f>(F48/D48)*100</f>
        <v>0</v>
      </c>
    </row>
    <row r="49" spans="1:8" ht="66" customHeight="1">
      <c r="A49" s="131"/>
      <c r="B49" s="88" t="s">
        <v>101</v>
      </c>
      <c r="C49" s="14" t="s">
        <v>102</v>
      </c>
      <c r="D49" s="26">
        <v>1</v>
      </c>
      <c r="E49" s="78" t="s">
        <v>103</v>
      </c>
      <c r="F49" s="16" t="s">
        <v>42</v>
      </c>
      <c r="G49" s="43">
        <f t="shared" ref="G49:G88" si="3">IF(F49="PASS",$D49,IF(F49="Alternate Approach/Partial Implementation",($J$1*$D49),0))</f>
        <v>0</v>
      </c>
      <c r="H49" s="17" t="s">
        <v>104</v>
      </c>
    </row>
    <row r="50" spans="1:8" ht="27.6">
      <c r="A50" s="131"/>
      <c r="B50" s="89"/>
      <c r="C50" s="14" t="s">
        <v>105</v>
      </c>
      <c r="D50" s="26">
        <v>1</v>
      </c>
      <c r="E50" s="79"/>
      <c r="F50" s="16" t="s">
        <v>42</v>
      </c>
      <c r="G50" s="43">
        <f t="shared" si="3"/>
        <v>0</v>
      </c>
      <c r="H50" s="17" t="s">
        <v>106</v>
      </c>
    </row>
    <row r="51" spans="1:8" ht="41.45">
      <c r="A51" s="131"/>
      <c r="B51" s="89"/>
      <c r="C51" s="14" t="s">
        <v>107</v>
      </c>
      <c r="D51" s="26">
        <v>1</v>
      </c>
      <c r="E51" s="79"/>
      <c r="F51" s="16" t="s">
        <v>29</v>
      </c>
      <c r="G51" s="43">
        <f t="shared" si="3"/>
        <v>1</v>
      </c>
      <c r="H51" s="17"/>
    </row>
    <row r="52" spans="1:8" ht="27.6">
      <c r="A52" s="131"/>
      <c r="B52" s="89"/>
      <c r="C52" s="14" t="s">
        <v>108</v>
      </c>
      <c r="D52" s="26">
        <v>1</v>
      </c>
      <c r="E52" s="79"/>
      <c r="F52" s="16" t="s">
        <v>29</v>
      </c>
      <c r="G52" s="43">
        <f t="shared" si="3"/>
        <v>1</v>
      </c>
      <c r="H52" s="17"/>
    </row>
    <row r="53" spans="1:8" ht="41.45">
      <c r="A53" s="131"/>
      <c r="B53" s="89"/>
      <c r="C53" s="14" t="s">
        <v>109</v>
      </c>
      <c r="D53" s="26">
        <v>1</v>
      </c>
      <c r="E53" s="79"/>
      <c r="F53" s="16" t="s">
        <v>42</v>
      </c>
      <c r="G53" s="43">
        <f t="shared" si="3"/>
        <v>0</v>
      </c>
      <c r="H53" s="17" t="s">
        <v>110</v>
      </c>
    </row>
    <row r="54" spans="1:8" ht="41.45">
      <c r="A54" s="131"/>
      <c r="B54" s="89"/>
      <c r="C54" s="14" t="s">
        <v>111</v>
      </c>
      <c r="D54" s="26">
        <v>1</v>
      </c>
      <c r="E54" s="79"/>
      <c r="F54" s="16" t="s">
        <v>42</v>
      </c>
      <c r="G54" s="43">
        <f t="shared" si="3"/>
        <v>0</v>
      </c>
      <c r="H54" s="17" t="s">
        <v>112</v>
      </c>
    </row>
    <row r="55" spans="1:8" ht="41.45">
      <c r="A55" s="131"/>
      <c r="B55" s="89"/>
      <c r="C55" s="14" t="s">
        <v>113</v>
      </c>
      <c r="D55" s="26">
        <v>1</v>
      </c>
      <c r="E55" s="79"/>
      <c r="F55" s="16" t="s">
        <v>29</v>
      </c>
      <c r="G55" s="43">
        <f t="shared" si="3"/>
        <v>1</v>
      </c>
      <c r="H55" s="17"/>
    </row>
    <row r="56" spans="1:8" ht="41.45">
      <c r="A56" s="131"/>
      <c r="B56" s="89"/>
      <c r="C56" s="14" t="s">
        <v>114</v>
      </c>
      <c r="D56" s="26">
        <v>1</v>
      </c>
      <c r="E56" s="79"/>
      <c r="F56" s="16" t="s">
        <v>42</v>
      </c>
      <c r="G56" s="43">
        <f t="shared" si="3"/>
        <v>0</v>
      </c>
      <c r="H56" s="17" t="s">
        <v>115</v>
      </c>
    </row>
    <row r="57" spans="1:8" ht="66" customHeight="1">
      <c r="A57" s="131"/>
      <c r="B57" s="88" t="s">
        <v>37</v>
      </c>
      <c r="C57" s="14" t="s">
        <v>116</v>
      </c>
      <c r="D57" s="26">
        <v>1</v>
      </c>
      <c r="E57" s="79"/>
      <c r="F57" s="16" t="s">
        <v>42</v>
      </c>
      <c r="G57" s="43">
        <f t="shared" si="3"/>
        <v>0</v>
      </c>
      <c r="H57" s="17" t="s">
        <v>117</v>
      </c>
    </row>
    <row r="58" spans="1:8" ht="41.45">
      <c r="A58" s="131"/>
      <c r="B58" s="89"/>
      <c r="C58" s="14" t="s">
        <v>118</v>
      </c>
      <c r="D58" s="26">
        <v>1</v>
      </c>
      <c r="E58" s="79"/>
      <c r="F58" s="16" t="s">
        <v>42</v>
      </c>
      <c r="G58" s="43">
        <f t="shared" si="3"/>
        <v>0</v>
      </c>
      <c r="H58" s="17" t="s">
        <v>119</v>
      </c>
    </row>
    <row r="59" spans="1:8" ht="41.45">
      <c r="A59" s="131"/>
      <c r="B59" s="89"/>
      <c r="C59" s="14" t="s">
        <v>120</v>
      </c>
      <c r="D59" s="26">
        <v>1</v>
      </c>
      <c r="E59" s="79"/>
      <c r="F59" s="16" t="s">
        <v>42</v>
      </c>
      <c r="G59" s="43">
        <f t="shared" si="3"/>
        <v>0</v>
      </c>
      <c r="H59" s="17" t="s">
        <v>121</v>
      </c>
    </row>
    <row r="60" spans="1:8" ht="41.45">
      <c r="A60" s="131"/>
      <c r="B60" s="89"/>
      <c r="C60" s="14" t="s">
        <v>122</v>
      </c>
      <c r="D60" s="26">
        <v>1</v>
      </c>
      <c r="E60" s="79"/>
      <c r="F60" s="16" t="s">
        <v>42</v>
      </c>
      <c r="G60" s="43">
        <f t="shared" si="3"/>
        <v>0</v>
      </c>
      <c r="H60" s="17" t="s">
        <v>123</v>
      </c>
    </row>
    <row r="61" spans="1:8" ht="41.45">
      <c r="A61" s="131"/>
      <c r="B61" s="89"/>
      <c r="C61" s="14" t="s">
        <v>124</v>
      </c>
      <c r="D61" s="26">
        <v>1</v>
      </c>
      <c r="E61" s="79"/>
      <c r="F61" s="16" t="s">
        <v>42</v>
      </c>
      <c r="G61" s="43">
        <f t="shared" si="3"/>
        <v>0</v>
      </c>
      <c r="H61" s="17" t="s">
        <v>125</v>
      </c>
    </row>
    <row r="62" spans="1:8" ht="41.45">
      <c r="A62" s="131"/>
      <c r="B62" s="89"/>
      <c r="C62" s="14" t="s">
        <v>126</v>
      </c>
      <c r="D62" s="26">
        <v>1</v>
      </c>
      <c r="E62" s="79"/>
      <c r="F62" s="16" t="s">
        <v>42</v>
      </c>
      <c r="G62" s="43">
        <f t="shared" si="3"/>
        <v>0</v>
      </c>
      <c r="H62" s="17" t="s">
        <v>127</v>
      </c>
    </row>
    <row r="63" spans="1:8" ht="41.45">
      <c r="A63" s="131"/>
      <c r="B63" s="89"/>
      <c r="C63" s="14" t="s">
        <v>128</v>
      </c>
      <c r="D63" s="26">
        <v>1</v>
      </c>
      <c r="E63" s="79"/>
      <c r="F63" s="16" t="s">
        <v>42</v>
      </c>
      <c r="G63" s="43">
        <f t="shared" si="3"/>
        <v>0</v>
      </c>
      <c r="H63" s="17" t="s">
        <v>129</v>
      </c>
    </row>
    <row r="64" spans="1:8" ht="27.6">
      <c r="A64" s="131"/>
      <c r="B64" s="89"/>
      <c r="C64" s="14" t="s">
        <v>130</v>
      </c>
      <c r="D64" s="26">
        <v>1</v>
      </c>
      <c r="E64" s="79"/>
      <c r="F64" s="16" t="s">
        <v>42</v>
      </c>
      <c r="G64" s="43">
        <f t="shared" si="3"/>
        <v>0</v>
      </c>
      <c r="H64" s="17" t="s">
        <v>131</v>
      </c>
    </row>
    <row r="65" spans="1:8" ht="27.6">
      <c r="A65" s="131"/>
      <c r="B65" s="90"/>
      <c r="C65" s="14" t="s">
        <v>132</v>
      </c>
      <c r="D65" s="26">
        <v>1</v>
      </c>
      <c r="E65" s="79"/>
      <c r="F65" s="16" t="s">
        <v>42</v>
      </c>
      <c r="G65" s="43">
        <f t="shared" si="3"/>
        <v>0</v>
      </c>
      <c r="H65" s="17" t="s">
        <v>133</v>
      </c>
    </row>
    <row r="66" spans="1:8" ht="55.15">
      <c r="A66" s="131"/>
      <c r="B66" s="88" t="s">
        <v>45</v>
      </c>
      <c r="C66" s="14" t="s">
        <v>134</v>
      </c>
      <c r="D66" s="26">
        <v>1</v>
      </c>
      <c r="E66" s="79"/>
      <c r="F66" s="16" t="s">
        <v>42</v>
      </c>
      <c r="G66" s="43">
        <f t="shared" si="3"/>
        <v>0</v>
      </c>
      <c r="H66" s="17" t="s">
        <v>135</v>
      </c>
    </row>
    <row r="67" spans="1:8" ht="41.45">
      <c r="A67" s="131"/>
      <c r="B67" s="89"/>
      <c r="C67" s="14" t="s">
        <v>136</v>
      </c>
      <c r="D67" s="26">
        <v>1</v>
      </c>
      <c r="E67" s="79"/>
      <c r="F67" s="16" t="s">
        <v>29</v>
      </c>
      <c r="G67" s="43">
        <f t="shared" si="3"/>
        <v>1</v>
      </c>
      <c r="H67" s="17"/>
    </row>
    <row r="68" spans="1:8" ht="41.45">
      <c r="A68" s="131"/>
      <c r="B68" s="89"/>
      <c r="C68" s="14" t="s">
        <v>137</v>
      </c>
      <c r="D68" s="26">
        <v>1</v>
      </c>
      <c r="E68" s="79"/>
      <c r="F68" s="16" t="s">
        <v>29</v>
      </c>
      <c r="G68" s="43">
        <f t="shared" si="3"/>
        <v>1</v>
      </c>
      <c r="H68" s="17"/>
    </row>
    <row r="69" spans="1:8" ht="27.6">
      <c r="A69" s="131"/>
      <c r="B69" s="89"/>
      <c r="C69" s="14" t="s">
        <v>138</v>
      </c>
      <c r="D69" s="26">
        <v>1</v>
      </c>
      <c r="E69" s="79"/>
      <c r="F69" s="16" t="s">
        <v>29</v>
      </c>
      <c r="G69" s="43">
        <f t="shared" si="3"/>
        <v>1</v>
      </c>
      <c r="H69" s="17"/>
    </row>
    <row r="70" spans="1:8" ht="41.45">
      <c r="A70" s="131"/>
      <c r="B70" s="90"/>
      <c r="C70" s="14" t="s">
        <v>139</v>
      </c>
      <c r="D70" s="26">
        <v>1</v>
      </c>
      <c r="E70" s="79"/>
      <c r="F70" s="16" t="s">
        <v>29</v>
      </c>
      <c r="G70" s="43">
        <f t="shared" si="3"/>
        <v>1</v>
      </c>
      <c r="H70" s="17"/>
    </row>
    <row r="71" spans="1:8" ht="28.5" customHeight="1">
      <c r="A71" s="131"/>
      <c r="B71" s="88" t="s">
        <v>54</v>
      </c>
      <c r="C71" s="14" t="s">
        <v>140</v>
      </c>
      <c r="D71" s="26">
        <v>1</v>
      </c>
      <c r="E71" s="79"/>
      <c r="F71" s="16" t="s">
        <v>42</v>
      </c>
      <c r="G71" s="43">
        <f t="shared" si="3"/>
        <v>0</v>
      </c>
      <c r="H71" s="17" t="s">
        <v>141</v>
      </c>
    </row>
    <row r="72" spans="1:8" ht="41.45">
      <c r="A72" s="131"/>
      <c r="B72" s="89"/>
      <c r="C72" s="14" t="s">
        <v>142</v>
      </c>
      <c r="D72" s="26">
        <v>1</v>
      </c>
      <c r="E72" s="79"/>
      <c r="F72" s="16" t="s">
        <v>29</v>
      </c>
      <c r="G72" s="43">
        <f t="shared" si="3"/>
        <v>1</v>
      </c>
      <c r="H72" s="17"/>
    </row>
    <row r="73" spans="1:8" ht="41.45">
      <c r="A73" s="131"/>
      <c r="B73" s="89"/>
      <c r="C73" s="14" t="s">
        <v>143</v>
      </c>
      <c r="D73" s="26">
        <v>1</v>
      </c>
      <c r="E73" s="79"/>
      <c r="F73" s="16" t="s">
        <v>42</v>
      </c>
      <c r="G73" s="43">
        <f t="shared" si="3"/>
        <v>0</v>
      </c>
      <c r="H73" s="17" t="s">
        <v>144</v>
      </c>
    </row>
    <row r="74" spans="1:8" ht="41.45">
      <c r="A74" s="131"/>
      <c r="B74" s="89"/>
      <c r="C74" s="14" t="s">
        <v>145</v>
      </c>
      <c r="D74" s="26">
        <v>1</v>
      </c>
      <c r="E74" s="79"/>
      <c r="F74" s="16" t="s">
        <v>29</v>
      </c>
      <c r="G74" s="43">
        <f t="shared" si="3"/>
        <v>1</v>
      </c>
      <c r="H74" s="17"/>
    </row>
    <row r="75" spans="1:8" ht="41.45">
      <c r="A75" s="131"/>
      <c r="B75" s="89"/>
      <c r="C75" s="14" t="s">
        <v>146</v>
      </c>
      <c r="D75" s="26">
        <v>1</v>
      </c>
      <c r="E75" s="79"/>
      <c r="F75" s="16" t="s">
        <v>42</v>
      </c>
      <c r="G75" s="43">
        <f t="shared" si="3"/>
        <v>0</v>
      </c>
      <c r="H75" s="17" t="s">
        <v>147</v>
      </c>
    </row>
    <row r="76" spans="1:8" ht="41.45">
      <c r="A76" s="131"/>
      <c r="B76" s="89"/>
      <c r="C76" s="14" t="s">
        <v>148</v>
      </c>
      <c r="D76" s="26">
        <v>1</v>
      </c>
      <c r="E76" s="79"/>
      <c r="F76" s="16" t="s">
        <v>29</v>
      </c>
      <c r="G76" s="43">
        <f t="shared" si="3"/>
        <v>1</v>
      </c>
      <c r="H76" s="17"/>
    </row>
    <row r="77" spans="1:8" ht="41.45">
      <c r="A77" s="131"/>
      <c r="B77" s="89"/>
      <c r="C77" s="14" t="s">
        <v>149</v>
      </c>
      <c r="D77" s="26">
        <v>1</v>
      </c>
      <c r="E77" s="79"/>
      <c r="F77" s="16" t="s">
        <v>29</v>
      </c>
      <c r="G77" s="43">
        <f t="shared" si="3"/>
        <v>1</v>
      </c>
      <c r="H77" s="17"/>
    </row>
    <row r="78" spans="1:8" ht="41.45">
      <c r="A78" s="131"/>
      <c r="B78" s="89"/>
      <c r="C78" s="14" t="s">
        <v>150</v>
      </c>
      <c r="D78" s="26">
        <v>1</v>
      </c>
      <c r="E78" s="79"/>
      <c r="F78" s="16" t="s">
        <v>42</v>
      </c>
      <c r="G78" s="43">
        <f t="shared" si="3"/>
        <v>0</v>
      </c>
      <c r="H78" s="17" t="s">
        <v>151</v>
      </c>
    </row>
    <row r="79" spans="1:8" ht="41.45">
      <c r="A79" s="131"/>
      <c r="B79" s="90"/>
      <c r="C79" s="14" t="s">
        <v>152</v>
      </c>
      <c r="D79" s="26">
        <v>1</v>
      </c>
      <c r="E79" s="79"/>
      <c r="F79" s="16" t="s">
        <v>42</v>
      </c>
      <c r="G79" s="43">
        <f t="shared" si="3"/>
        <v>0</v>
      </c>
      <c r="H79" s="17" t="s">
        <v>153</v>
      </c>
    </row>
    <row r="80" spans="1:8" ht="41.45">
      <c r="A80" s="131"/>
      <c r="B80" s="100" t="s">
        <v>65</v>
      </c>
      <c r="C80" s="37" t="s">
        <v>154</v>
      </c>
      <c r="D80" s="26">
        <v>1</v>
      </c>
      <c r="E80" s="79"/>
      <c r="F80" s="16" t="s">
        <v>42</v>
      </c>
      <c r="G80" s="43">
        <f t="shared" si="3"/>
        <v>0</v>
      </c>
      <c r="H80" s="17" t="s">
        <v>155</v>
      </c>
    </row>
    <row r="81" spans="1:8" ht="41.45">
      <c r="A81" s="131"/>
      <c r="B81" s="101"/>
      <c r="C81" s="37" t="s">
        <v>156</v>
      </c>
      <c r="D81" s="26">
        <v>1</v>
      </c>
      <c r="E81" s="79"/>
      <c r="F81" s="16" t="s">
        <v>29</v>
      </c>
      <c r="G81" s="43">
        <f t="shared" si="3"/>
        <v>1</v>
      </c>
      <c r="H81" s="17"/>
    </row>
    <row r="82" spans="1:8" ht="41.45">
      <c r="A82" s="131"/>
      <c r="B82" s="101"/>
      <c r="C82" s="37" t="s">
        <v>157</v>
      </c>
      <c r="D82" s="26">
        <v>1</v>
      </c>
      <c r="E82" s="79"/>
      <c r="F82" s="16" t="s">
        <v>29</v>
      </c>
      <c r="G82" s="43">
        <f t="shared" si="3"/>
        <v>1</v>
      </c>
      <c r="H82" s="17"/>
    </row>
    <row r="83" spans="1:8" ht="41.45">
      <c r="A83" s="131"/>
      <c r="B83" s="101"/>
      <c r="C83" s="37" t="s">
        <v>158</v>
      </c>
      <c r="D83" s="26">
        <v>1</v>
      </c>
      <c r="E83" s="79"/>
      <c r="F83" s="16" t="s">
        <v>42</v>
      </c>
      <c r="G83" s="43">
        <f t="shared" si="3"/>
        <v>0</v>
      </c>
      <c r="H83" s="17" t="s">
        <v>159</v>
      </c>
    </row>
    <row r="84" spans="1:8" ht="41.45">
      <c r="A84" s="131"/>
      <c r="B84" s="101"/>
      <c r="C84" s="37" t="s">
        <v>160</v>
      </c>
      <c r="D84" s="26">
        <v>1</v>
      </c>
      <c r="E84" s="79"/>
      <c r="F84" s="16" t="s">
        <v>29</v>
      </c>
      <c r="G84" s="43">
        <f t="shared" si="3"/>
        <v>1</v>
      </c>
      <c r="H84" s="17"/>
    </row>
    <row r="85" spans="1:8" ht="55.15">
      <c r="A85" s="131"/>
      <c r="B85" s="101"/>
      <c r="C85" s="37" t="s">
        <v>161</v>
      </c>
      <c r="D85" s="26">
        <v>1</v>
      </c>
      <c r="E85" s="79"/>
      <c r="F85" s="16" t="s">
        <v>29</v>
      </c>
      <c r="G85" s="43">
        <f t="shared" si="3"/>
        <v>1</v>
      </c>
      <c r="H85" s="17"/>
    </row>
    <row r="86" spans="1:8" ht="41.45">
      <c r="A86" s="131"/>
      <c r="B86" s="101"/>
      <c r="C86" s="37" t="s">
        <v>162</v>
      </c>
      <c r="D86" s="26">
        <v>1</v>
      </c>
      <c r="E86" s="79"/>
      <c r="F86" s="16" t="s">
        <v>42</v>
      </c>
      <c r="G86" s="43">
        <f t="shared" si="3"/>
        <v>0</v>
      </c>
      <c r="H86" s="17" t="s">
        <v>163</v>
      </c>
    </row>
    <row r="87" spans="1:8" ht="55.15">
      <c r="A87" s="131"/>
      <c r="B87" s="101"/>
      <c r="C87" s="37" t="s">
        <v>164</v>
      </c>
      <c r="D87" s="26">
        <v>1</v>
      </c>
      <c r="E87" s="79"/>
      <c r="F87" s="16" t="s">
        <v>42</v>
      </c>
      <c r="G87" s="43">
        <f t="shared" si="3"/>
        <v>0</v>
      </c>
      <c r="H87" s="17" t="s">
        <v>165</v>
      </c>
    </row>
    <row r="88" spans="1:8" ht="43.15" customHeight="1">
      <c r="A88" s="131"/>
      <c r="B88" s="102"/>
      <c r="C88" s="37" t="s">
        <v>166</v>
      </c>
      <c r="D88" s="26">
        <v>1</v>
      </c>
      <c r="E88" s="80"/>
      <c r="F88" s="16" t="s">
        <v>29</v>
      </c>
      <c r="G88" s="43">
        <f t="shared" si="3"/>
        <v>1</v>
      </c>
      <c r="H88" s="17"/>
    </row>
    <row r="89" spans="1:8" ht="4.5" customHeight="1">
      <c r="A89" s="99"/>
      <c r="B89" s="99"/>
      <c r="C89" s="99"/>
      <c r="D89" s="99"/>
      <c r="E89" s="99"/>
      <c r="F89" s="99"/>
      <c r="G89" s="99"/>
      <c r="H89" s="99"/>
    </row>
    <row r="90" spans="1:8" ht="39.4" customHeight="1">
      <c r="A90" s="103" t="s">
        <v>167</v>
      </c>
      <c r="B90" s="86" t="s">
        <v>168</v>
      </c>
      <c r="C90" s="87"/>
      <c r="D90" s="57">
        <f>SUM(D91:D95)</f>
        <v>10</v>
      </c>
      <c r="E90" s="52"/>
      <c r="F90" s="23"/>
      <c r="G90" s="57">
        <f>SUM(G91:G95)</f>
        <v>6</v>
      </c>
      <c r="H90" s="17"/>
    </row>
    <row r="91" spans="1:8" ht="40.5" customHeight="1">
      <c r="A91" s="104"/>
      <c r="B91" s="27" t="s">
        <v>169</v>
      </c>
      <c r="C91" s="27" t="s">
        <v>170</v>
      </c>
      <c r="D91" s="28">
        <v>2</v>
      </c>
      <c r="E91" s="106" t="s">
        <v>171</v>
      </c>
      <c r="F91" s="16" t="s">
        <v>29</v>
      </c>
      <c r="G91" s="43">
        <f t="shared" ref="G91:G95" si="4">IF(F91="PASS",$D91,IF(F91="Alternate Approach/Partial Implementation",($J$1*$D91),0))</f>
        <v>2</v>
      </c>
      <c r="H91" s="17"/>
    </row>
    <row r="92" spans="1:8" ht="64.5" customHeight="1">
      <c r="A92" s="104"/>
      <c r="B92" s="27" t="s">
        <v>172</v>
      </c>
      <c r="C92" s="27" t="s">
        <v>173</v>
      </c>
      <c r="D92" s="28">
        <v>2</v>
      </c>
      <c r="E92" s="107"/>
      <c r="F92" s="16" t="s">
        <v>50</v>
      </c>
      <c r="G92" s="43">
        <f t="shared" si="4"/>
        <v>1</v>
      </c>
      <c r="H92" s="17" t="s">
        <v>174</v>
      </c>
    </row>
    <row r="93" spans="1:8" ht="124.15">
      <c r="A93" s="104"/>
      <c r="B93" s="27" t="s">
        <v>175</v>
      </c>
      <c r="C93" s="27" t="s">
        <v>176</v>
      </c>
      <c r="D93" s="28">
        <v>2</v>
      </c>
      <c r="E93" s="107"/>
      <c r="F93" s="16" t="s">
        <v>50</v>
      </c>
      <c r="G93" s="43">
        <f t="shared" si="4"/>
        <v>1</v>
      </c>
      <c r="H93" s="17" t="s">
        <v>177</v>
      </c>
    </row>
    <row r="94" spans="1:8" ht="69">
      <c r="A94" s="104"/>
      <c r="B94" s="27" t="s">
        <v>178</v>
      </c>
      <c r="C94" s="27" t="s">
        <v>179</v>
      </c>
      <c r="D94" s="28">
        <v>2</v>
      </c>
      <c r="E94" s="107"/>
      <c r="F94" s="16" t="s">
        <v>50</v>
      </c>
      <c r="G94" s="43">
        <f t="shared" si="4"/>
        <v>1</v>
      </c>
      <c r="H94" s="17" t="s">
        <v>180</v>
      </c>
    </row>
    <row r="95" spans="1:8" ht="82.9">
      <c r="A95" s="105"/>
      <c r="B95" s="27" t="s">
        <v>181</v>
      </c>
      <c r="C95" s="27" t="s">
        <v>182</v>
      </c>
      <c r="D95" s="28">
        <v>2</v>
      </c>
      <c r="E95" s="108"/>
      <c r="F95" s="16" t="s">
        <v>50</v>
      </c>
      <c r="G95" s="43">
        <f t="shared" si="4"/>
        <v>1</v>
      </c>
      <c r="H95" s="17" t="s">
        <v>183</v>
      </c>
    </row>
    <row r="96" spans="1:8" ht="4.9000000000000004" customHeight="1">
      <c r="A96" s="38"/>
      <c r="B96" s="39"/>
      <c r="C96" s="40"/>
      <c r="D96" s="41"/>
      <c r="E96" s="53"/>
      <c r="F96" s="41"/>
      <c r="G96" s="46"/>
      <c r="H96" s="41"/>
    </row>
    <row r="97" spans="1:8" ht="25.5" customHeight="1">
      <c r="A97" s="93" t="s">
        <v>184</v>
      </c>
      <c r="B97" s="86" t="s">
        <v>185</v>
      </c>
      <c r="C97" s="87"/>
      <c r="D97" s="57">
        <f>SUM(D98:D99)</f>
        <v>10</v>
      </c>
      <c r="E97" s="52"/>
      <c r="F97" s="23"/>
      <c r="G97" s="57">
        <f>SUM(G98:G99)</f>
        <v>5</v>
      </c>
      <c r="H97" s="17"/>
    </row>
    <row r="98" spans="1:8" ht="54.4" customHeight="1">
      <c r="A98" s="132"/>
      <c r="B98" s="91" t="s">
        <v>186</v>
      </c>
      <c r="C98" s="29" t="s">
        <v>187</v>
      </c>
      <c r="D98" s="28">
        <v>5</v>
      </c>
      <c r="E98" s="97" t="s">
        <v>188</v>
      </c>
      <c r="F98" s="16" t="s">
        <v>50</v>
      </c>
      <c r="G98" s="43">
        <f t="shared" ref="G98:G99" si="5">IF(F98="PASS",$D98,IF(F98="Alternate Approach/Partial Implementation",($J$1*$D98),0))</f>
        <v>2.5</v>
      </c>
      <c r="H98" s="17" t="s">
        <v>189</v>
      </c>
    </row>
    <row r="99" spans="1:8" ht="48.4" customHeight="1">
      <c r="A99" s="132"/>
      <c r="B99" s="92"/>
      <c r="C99" s="29" t="s">
        <v>190</v>
      </c>
      <c r="D99" s="28">
        <v>5</v>
      </c>
      <c r="E99" s="98"/>
      <c r="F99" s="16" t="s">
        <v>50</v>
      </c>
      <c r="G99" s="43">
        <f t="shared" si="5"/>
        <v>2.5</v>
      </c>
      <c r="H99" s="17" t="s">
        <v>189</v>
      </c>
    </row>
    <row r="100" spans="1:8" ht="6" customHeight="1">
      <c r="A100" s="94"/>
      <c r="B100" s="95"/>
      <c r="C100" s="95"/>
      <c r="D100" s="95"/>
      <c r="E100" s="95"/>
      <c r="F100" s="95"/>
      <c r="G100" s="95"/>
      <c r="H100" s="96"/>
    </row>
    <row r="101" spans="1:8" ht="30" customHeight="1">
      <c r="A101" s="30"/>
      <c r="B101" s="30"/>
      <c r="C101" s="30"/>
      <c r="D101" s="58">
        <f>SUM(D97,D90,D48,D35,D4)</f>
        <v>100</v>
      </c>
      <c r="E101" s="54"/>
      <c r="F101" s="31"/>
      <c r="G101" s="58">
        <f>SUM(G97,G90,G48,G35,G4)</f>
        <v>56.5</v>
      </c>
      <c r="H101" s="32"/>
    </row>
  </sheetData>
  <mergeCells count="38">
    <mergeCell ref="A1:H1"/>
    <mergeCell ref="A47:H47"/>
    <mergeCell ref="B17:B21"/>
    <mergeCell ref="B6:B11"/>
    <mergeCell ref="B4:C4"/>
    <mergeCell ref="B35:C35"/>
    <mergeCell ref="E36:E46"/>
    <mergeCell ref="A4:A33"/>
    <mergeCell ref="H2:H3"/>
    <mergeCell ref="F2:G3"/>
    <mergeCell ref="B12:B16"/>
    <mergeCell ref="B22:B26"/>
    <mergeCell ref="A2:A3"/>
    <mergeCell ref="A35:A46"/>
    <mergeCell ref="B27:B28"/>
    <mergeCell ref="B29:B33"/>
    <mergeCell ref="B97:C97"/>
    <mergeCell ref="B57:B65"/>
    <mergeCell ref="B98:B99"/>
    <mergeCell ref="A97:A99"/>
    <mergeCell ref="A100:H100"/>
    <mergeCell ref="E98:E99"/>
    <mergeCell ref="A89:H89"/>
    <mergeCell ref="B80:B88"/>
    <mergeCell ref="B66:B70"/>
    <mergeCell ref="B71:B79"/>
    <mergeCell ref="A90:A95"/>
    <mergeCell ref="B90:C90"/>
    <mergeCell ref="E91:E95"/>
    <mergeCell ref="A48:A88"/>
    <mergeCell ref="B48:C48"/>
    <mergeCell ref="B49:B56"/>
    <mergeCell ref="E49:E88"/>
    <mergeCell ref="D2:D3"/>
    <mergeCell ref="E2:E3"/>
    <mergeCell ref="C2:C3"/>
    <mergeCell ref="B2:B3"/>
    <mergeCell ref="E5:E33"/>
  </mergeCells>
  <pageMargins left="0.69930555555555596" right="0.69930555555555596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formuls!$A$1:$A$4</xm:f>
          </x14:formula1>
          <xm:sqref>F91:F95 F49:F88 F36:F46 F5:F33 F98:F99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8"/>
  <sheetViews>
    <sheetView tabSelected="1" topLeftCell="B1" zoomScale="89" zoomScaleNormal="89" workbookViewId="0">
      <selection activeCell="A6" sqref="A6"/>
    </sheetView>
  </sheetViews>
  <sheetFormatPr defaultColWidth="8.7109375" defaultRowHeight="25.15" customHeight="1"/>
  <cols>
    <col min="1" max="1" width="47.42578125" style="1" customWidth="1"/>
    <col min="2" max="2" width="29.28515625" style="1" customWidth="1"/>
    <col min="3" max="3" width="14.85546875" style="1" customWidth="1"/>
    <col min="4" max="4" width="11.140625" style="1" customWidth="1"/>
    <col min="5" max="5" width="12.140625" style="1" bestFit="1" customWidth="1"/>
    <col min="6" max="16384" width="8.7109375" style="1"/>
  </cols>
  <sheetData>
    <row r="1" spans="1:5" ht="25.15" customHeight="1">
      <c r="A1" s="2" t="s">
        <v>191</v>
      </c>
      <c r="B1" s="3"/>
      <c r="C1" s="4"/>
      <c r="D1" s="4"/>
    </row>
    <row r="2" spans="1:5" ht="25.15" customHeight="1">
      <c r="A2" s="4" t="s">
        <v>192</v>
      </c>
      <c r="B2" s="5" t="s">
        <v>193</v>
      </c>
      <c r="C2" s="5" t="s">
        <v>19</v>
      </c>
      <c r="D2" s="5" t="s">
        <v>194</v>
      </c>
      <c r="E2" s="5" t="s">
        <v>195</v>
      </c>
    </row>
    <row r="3" spans="1:5" ht="25.15" customHeight="1">
      <c r="A3" s="4" t="s">
        <v>196</v>
      </c>
      <c r="B3" s="4" t="str">
        <f t="shared" ref="B3:B7" si="0">IF((D3/C3*100)&gt;=80,"Areas of Excellence",IF(AND((D3/C3*100)&gt;=60,(D3/C3*100)&lt;80),"Areas of improvement","Areas of Focus"))</f>
        <v>Areas of improvement</v>
      </c>
      <c r="C3" s="59">
        <f>'Metric Test Case'!D4</f>
        <v>30</v>
      </c>
      <c r="D3" s="60">
        <f>'Metric Test Case'!G4</f>
        <v>23</v>
      </c>
      <c r="E3" s="7">
        <f>(D3/C3)*100</f>
        <v>76.666666666666671</v>
      </c>
    </row>
    <row r="4" spans="1:5" ht="25.15" customHeight="1">
      <c r="A4" s="4" t="s">
        <v>73</v>
      </c>
      <c r="B4" s="4" t="str">
        <f t="shared" si="0"/>
        <v>Areas of improvement</v>
      </c>
      <c r="C4" s="59">
        <f>'Metric Test Case'!D35</f>
        <v>10</v>
      </c>
      <c r="D4" s="4">
        <f>'Metric Test Case'!G35</f>
        <v>6.5</v>
      </c>
      <c r="E4" s="7">
        <f t="shared" ref="E4:E7" si="1">(D4/C4)*100</f>
        <v>65</v>
      </c>
    </row>
    <row r="5" spans="1:5" ht="25.15" customHeight="1">
      <c r="A5" s="4" t="s">
        <v>197</v>
      </c>
      <c r="B5" s="4" t="str">
        <f t="shared" si="0"/>
        <v>Areas of Focus</v>
      </c>
      <c r="C5" s="59">
        <f>'Metric Test Case'!D48</f>
        <v>40</v>
      </c>
      <c r="D5" s="60">
        <f>'Metric Test Case'!G48</f>
        <v>16</v>
      </c>
      <c r="E5" s="7">
        <f t="shared" si="1"/>
        <v>40</v>
      </c>
    </row>
    <row r="6" spans="1:5" ht="25.15" customHeight="1">
      <c r="A6" s="4" t="s">
        <v>198</v>
      </c>
      <c r="B6" s="4" t="str">
        <f t="shared" si="0"/>
        <v>Areas of improvement</v>
      </c>
      <c r="C6" s="59">
        <f>'Metric Test Case'!D90</f>
        <v>10</v>
      </c>
      <c r="D6" s="60">
        <f>'Metric Test Case'!G90</f>
        <v>6</v>
      </c>
      <c r="E6" s="7">
        <f t="shared" si="1"/>
        <v>60</v>
      </c>
    </row>
    <row r="7" spans="1:5" ht="25.15" customHeight="1">
      <c r="A7" s="4" t="s">
        <v>184</v>
      </c>
      <c r="B7" s="4" t="str">
        <f t="shared" si="0"/>
        <v>Areas of Focus</v>
      </c>
      <c r="C7" s="59">
        <f>'Metric Test Case'!D97</f>
        <v>10</v>
      </c>
      <c r="D7" s="60">
        <f>'Metric Test Case'!G97</f>
        <v>5</v>
      </c>
      <c r="E7" s="7">
        <f t="shared" si="1"/>
        <v>50</v>
      </c>
    </row>
    <row r="8" spans="1:5" ht="25.15" customHeight="1">
      <c r="A8" s="4"/>
      <c r="B8" s="4"/>
      <c r="C8" s="60">
        <f>SUM(C3:C7)</f>
        <v>100</v>
      </c>
      <c r="D8" s="6">
        <f>SUM(D3:D7)</f>
        <v>56.5</v>
      </c>
      <c r="E8" s="7"/>
    </row>
  </sheetData>
  <pageMargins left="0.69930555555555596" right="0.69930555555555596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G14" sqref="G14"/>
    </sheetView>
  </sheetViews>
  <sheetFormatPr defaultRowHeight="13.15"/>
  <sheetData>
    <row r="1" spans="1:1">
      <c r="A1" t="s">
        <v>29</v>
      </c>
    </row>
    <row r="2" spans="1:1">
      <c r="A2" t="s">
        <v>42</v>
      </c>
    </row>
    <row r="3" spans="1:1">
      <c r="A3" t="s">
        <v>199</v>
      </c>
    </row>
    <row r="4" spans="1:1" ht="13.9">
      <c r="A4" s="9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>
  <documentManagement>
    <AccountID xmlns="ea0b5390-f064-499e-8124-802430b002fc" xsi:nil="true"/>
    <SubProjectID xmlns="ea0b5390-f064-499e-8124-802430b002fc" xsi:nil="true"/>
    <Functional_x0020_Modules xmlns="ea0b5390-f064-499e-8124-802430b002fc" xsi:nil="true"/>
    <_x0043_M7 xmlns="ea0b5390-f064-499e-8124-802430b002fc" xsi:nil="true"/>
    <_x0043_M6 xmlns="ea0b5390-f064-499e-8124-802430b002fc" xsi:nil="true"/>
    <_x0043_M5 xmlns="ea0b5390-f064-499e-8124-802430b002fc" xsi:nil="true"/>
    <_x0043_M10 xmlns="ea0b5390-f064-499e-8124-802430b002fc" xsi:nil="true"/>
    <Phase xmlns="ea0b5390-f064-499e-8124-802430b002fc" xsi:nil="true"/>
    <_x0043_M4 xmlns="ea0b5390-f064-499e-8124-802430b002fc" xsi:nil="true"/>
    <CopyToPath xmlns="ea0b5390-f064-499e-8124-802430b002fc">https://cognizant20.cognizant.com/cts/OrgCommunities6/QEA Solutioning/DSC/QEA Solutioning/QEA Content/Skill Based Assessments/Signed Off - SBAs/Senior Test Analyst/Test Design Techniques I/SBA_STA_TDT I_BMS Project/Inputs</CopyToPath>
    <_x0043_M3 xmlns="ea0b5390-f064-499e-8124-802430b002fc" xsi:nil="true"/>
    <CreatedTime xmlns="ea0b5390-f064-499e-8124-802430b002fc">2015-06-08T09:16:24+00:00</CreatedTime>
    <Processes xmlns="ea0b5390-f064-499e-8124-802430b002fc" xsi:nil="true"/>
    <UnmappedDocuments xmlns="ea0b5390-f064-499e-8124-802430b002fc">false</UnmappedDocuments>
    <_x0043_M2 xmlns="ea0b5390-f064-499e-8124-802430b002fc" xsi:nil="true"/>
    <_x0043_M1 xmlns="ea0b5390-f064-499e-8124-802430b002fc" xsi:nil="true"/>
    <ApprovalStatus xmlns="ea0b5390-f064-499e-8124-802430b002fc">Approved</ApprovalStatus>
    <MBID xmlns="ea0b5390-f064-499e-8124-802430b002fc">DS_25ab5aa4-8e54-4a5a-a1da-b3cf957c2acd</MBID>
    <Tags xmlns="ea0b5390-f064-499e-8124-802430b002fc" xsi:nil="true"/>
    <Comments xmlns="ea0b5390-f064-499e-8124-802430b002fc">CTS\251238</Comments>
    <Rating3 xmlns="ea0b5390-f064-499e-8124-802430b002fc" xsi:nil="true"/>
    <ClientSupplied xmlns="ea0b5390-f064-499e-8124-802430b002fc">false</ClientSupplied>
    <Rating2 xmlns="ea0b5390-f064-499e-8124-802430b002fc" xsi:nil="true"/>
    <Rating1 xmlns="ea0b5390-f064-499e-8124-802430b002fc" xsi:nil="true"/>
    <ArtifactStatus xmlns="ea0b5390-f064-499e-8124-802430b002fc" xsi:nil="true"/>
    <Activities xmlns="ea0b5390-f064-499e-8124-802430b002fc" xsi:nil="true"/>
    <Releases xmlns="ea0b5390-f064-499e-8124-802430b002fc" xsi:nil="true"/>
    <ViewCount xmlns="ea0b5390-f064-499e-8124-802430b002fc" xsi:nil="true"/>
    <Rating5 xmlns="ea0b5390-f064-499e-8124-802430b002fc" xsi:nil="true"/>
    <_x0043_M9 xmlns="ea0b5390-f064-499e-8124-802430b002fc" xsi:nil="true"/>
    <CheckedOutPath xmlns="ea0b5390-f064-499e-8124-802430b002fc" xsi:nil="true"/>
    <Work_x0020_request xmlns="ea0b5390-f064-499e-8124-802430b002fc" xsi:nil="true"/>
    <Rating4 xmlns="ea0b5390-f064-499e-8124-802430b002fc" xsi:nil="true"/>
    <_x0043_M8 xmlns="ea0b5390-f064-499e-8124-802430b002fc" xsi:nil="true"/>
    <ProjectID xmlns="ea0b5390-f064-499e-8124-802430b002fc" xsi:nil="true"/>
    <AssociateID xmlns="ea0b5390-f064-499e-8124-802430b002fc">CTS\251238</AssociateID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ma:contentTypeName="Document" ma:contentTypeVersion="36" ma:contentTypeScope="" ma:contentTypeID="0x01010029E5E8BB18D1C54091C9FE5D280D6853" ma:versionID="1ec6dc58794cdfd783e14d8097f02f2b" ct:_="" ma:_="" ma:contentTypeDescription="Create a new document.">
  <xsd:schema xmlns:p="http://schemas.microsoft.com/office/2006/metadata/properties" xmlns:xsd="http://www.w3.org/2001/XMLSchema" xmlns:xs="http://www.w3.org/2001/XMLSchema" xmlns:ns2="ea0b5390-f064-499e-8124-802430b002fc" ma:root="true" ns2:_="" targetNamespace="http://schemas.microsoft.com/office/2006/metadata/properties" ma:fieldsID="fd48e9569f0ff2c4133105949910dcbe">
    <xsd:import namespace="ea0b5390-f064-499e-8124-802430b002fc"/>
    <xsd:element name="properties">
      <xsd:complexType>
        <xsd:sequence>
          <xsd:element name="documentManagement">
            <xsd:complexType>
              <xsd:all>
                <xsd:element ref="ns2:AccountID" minOccurs="0"/>
                <xsd:element ref="ns2:ProjectID" minOccurs="0"/>
                <xsd:element ref="ns2:SubProjectID" minOccurs="0"/>
                <xsd:element ref="ns2:AssociateID" minOccurs="0"/>
                <xsd:element ref="ns2:CreatedTime" minOccurs="0"/>
                <xsd:element ref="ns2:Processes" minOccurs="0"/>
                <xsd:element ref="ns2:Phase" minOccurs="0"/>
                <xsd:element ref="ns2:Activities" minOccurs="0"/>
                <xsd:element ref="ns2:Releases" minOccurs="0"/>
                <xsd:element ref="ns2:Functional_x0020_Modules" minOccurs="0"/>
                <xsd:element ref="ns2:ViewCount" minOccurs="0"/>
                <xsd:element ref="ns2:CheckedOutPath" minOccurs="0"/>
                <xsd:element ref="ns2:ApprovalStatus" minOccurs="0"/>
                <xsd:element ref="ns2:Work_x0020_request" minOccurs="0"/>
                <xsd:element ref="ns2:Tags" minOccurs="0"/>
                <xsd:element ref="ns2:ArtifactStatus" minOccurs="0"/>
                <xsd:element ref="ns2:UnmappedDocuments" minOccurs="0"/>
                <xsd:element ref="ns2:CopyToPath" minOccurs="0"/>
                <xsd:element ref="ns2:Comments" minOccurs="0"/>
                <xsd:element ref="ns2:ClientSupplied" minOccurs="0"/>
                <xsd:element ref="ns2:Rating1" minOccurs="0"/>
                <xsd:element ref="ns2:Rating2" minOccurs="0"/>
                <xsd:element ref="ns2:Rating3" minOccurs="0"/>
                <xsd:element ref="ns2:Rating4" minOccurs="0"/>
                <xsd:element ref="ns2:Rating5" minOccurs="0"/>
                <xsd:element ref="ns2:MBID" minOccurs="0"/>
                <xsd:element ref="ns2:_x0043_M1" minOccurs="0"/>
                <xsd:element ref="ns2:_x0043_M2" minOccurs="0"/>
                <xsd:element ref="ns2:_x0043_M3" minOccurs="0"/>
                <xsd:element ref="ns2:_x0043_M4" minOccurs="0"/>
                <xsd:element ref="ns2:_x0043_M5" minOccurs="0"/>
                <xsd:element ref="ns2:_x0043_M6" minOccurs="0"/>
                <xsd:element ref="ns2:_x0043_M7" minOccurs="0"/>
                <xsd:element ref="ns2:_x0043_M8" minOccurs="0"/>
                <xsd:element ref="ns2:_x0043_M9" minOccurs="0"/>
                <xsd:element ref="ns2:_x0043_M10" minOccurs="0"/>
              </xsd:all>
            </xsd:complexType>
          </xsd:element>
        </xsd:sequence>
      </xsd:complexType>
    </xsd:element>
  </xsd:schema>
  <xsd:schema xmlns:xsd="http://www.w3.org/2001/XMLSchema" xmlns:pc="http://schemas.microsoft.com/office/infopath/2007/PartnerControls" xmlns:dms="http://schemas.microsoft.com/office/2006/documentManagement/types" xmlns:xs="http://www.w3.org/2001/XMLSchema" elementFormDefault="qualified" targetNamespace="ea0b5390-f064-499e-8124-802430b002fc">
    <xsd:import namespace="http://schemas.microsoft.com/office/2006/documentManagement/types"/>
    <xsd:import namespace="http://schemas.microsoft.com/office/infopath/2007/PartnerControls"/>
    <xsd:element ma:displayName="AccountID" nillable="true" ma:internalName="AccountID" ma:index="8" name="AccountID">
      <xsd:simpleType>
        <xsd:restriction base="dms:Text"/>
      </xsd:simpleType>
    </xsd:element>
    <xsd:element ma:displayName="ProjectID" nillable="true" ma:internalName="ProjectID" ma:index="9" name="ProjectID">
      <xsd:simpleType>
        <xsd:restriction base="dms:Text"/>
      </xsd:simpleType>
    </xsd:element>
    <xsd:element ma:displayName="SubProjectID" nillable="true" ma:internalName="SubProjectID" ma:index="10" name="SubProjectID">
      <xsd:simpleType>
        <xsd:restriction base="dms:Text"/>
      </xsd:simpleType>
    </xsd:element>
    <xsd:element ma:displayName="AssociateID" nillable="true" ma:internalName="AssociateID" ma:index="11" name="AssociateID">
      <xsd:simpleType>
        <xsd:restriction base="dms:Text"/>
      </xsd:simpleType>
    </xsd:element>
    <xsd:element ma:displayName="CreatedTime" nillable="true" ma:internalName="CreatedTime" ma:index="12" name="CreatedTime">
      <xsd:simpleType>
        <xsd:restriction base="dms:DateTime"/>
      </xsd:simpleType>
    </xsd:element>
    <xsd:element ma:displayName="Processes" nillable="true" ma:internalName="Processes" ma:index="13" name="Processes">
      <xsd:simpleType>
        <xsd:restriction base="dms:Text"/>
      </xsd:simpleType>
    </xsd:element>
    <xsd:element ma:displayName="Phase" nillable="true" ma:internalName="Phase" ma:index="14" name="Phase">
      <xsd:simpleType>
        <xsd:restriction base="dms:Text"/>
      </xsd:simpleType>
    </xsd:element>
    <xsd:element ma:displayName="Activities" nillable="true" ma:internalName="Activities" ma:index="15" name="Activities">
      <xsd:simpleType>
        <xsd:restriction base="dms:Text"/>
      </xsd:simpleType>
    </xsd:element>
    <xsd:element ma:displayName="Releases" nillable="true" ma:internalName="Releases" ma:index="16" name="Releases">
      <xsd:simpleType>
        <xsd:restriction base="dms:Text"/>
      </xsd:simpleType>
    </xsd:element>
    <xsd:element ma:displayName="Functional Modules" nillable="true" ma:internalName="Functional_x0020_Modules" ma:index="17" name="Functional_x0020_Modules">
      <xsd:simpleType>
        <xsd:restriction base="dms:Text"/>
      </xsd:simpleType>
    </xsd:element>
    <xsd:element ma:displayName="ViewCount" nillable="true" ma:internalName="ViewCount" ma:index="18" name="ViewCount">
      <xsd:simpleType>
        <xsd:restriction base="dms:Unknown"/>
      </xsd:simpleType>
    </xsd:element>
    <xsd:element ma:displayName="CheckedOutPath" nillable="true" ma:internalName="CheckedOutPath" ma:index="19" name="CheckedOutPath">
      <xsd:simpleType>
        <xsd:restriction base="dms:Text"/>
      </xsd:simpleType>
    </xsd:element>
    <xsd:element ma:displayName="ApprovalStatus" nillable="true" ma:internalName="ApprovalStatus" ma:index="20" name="ApprovalStatus">
      <xsd:simpleType>
        <xsd:restriction base="dms:Text"/>
      </xsd:simpleType>
    </xsd:element>
    <xsd:element ma:displayName="Work request" nillable="true" ma:internalName="Work_x0020_request" ma:index="21" name="Work_x0020_request">
      <xsd:simpleType>
        <xsd:restriction base="dms:Text"/>
      </xsd:simpleType>
    </xsd:element>
    <xsd:element ma:displayName="Tags" nillable="true" ma:internalName="Tags" ma:index="22" name="Tags">
      <xsd:simpleType>
        <xsd:restriction base="dms:Note">
          <xsd:maxLength value="255"/>
        </xsd:restriction>
      </xsd:simpleType>
    </xsd:element>
    <xsd:element ma:displayName="ArtifactStatus" nillable="true" ma:internalName="ArtifactStatus" ma:index="23" name="ArtifactStatus">
      <xsd:simpleType>
        <xsd:restriction base="dms:Text"/>
      </xsd:simpleType>
    </xsd:element>
    <xsd:element ma:displayName="UnmappedDocuments" nillable="true" ma:internalName="UnmappedDocuments" ma:index="24" name="UnmappedDocuments">
      <xsd:simpleType>
        <xsd:restriction base="dms:Text"/>
      </xsd:simpleType>
    </xsd:element>
    <xsd:element ma:displayName="CopyToPath" nillable="true" ma:internalName="CopyToPath" ma:index="25" name="CopyToPath">
      <xsd:simpleType>
        <xsd:restriction base="dms:Text"/>
      </xsd:simpleType>
    </xsd:element>
    <xsd:element ma:displayName="Comments" nillable="true" ma:internalName="Comments" ma:index="26" name="Comments">
      <xsd:simpleType>
        <xsd:restriction base="dms:Note">
          <xsd:maxLength value="255"/>
        </xsd:restriction>
      </xsd:simpleType>
    </xsd:element>
    <xsd:element ma:displayName="ClientSupplied" nillable="true" ma:internalName="ClientSupplied" ma:index="27" name="ClientSupplied">
      <xsd:simpleType>
        <xsd:restriction base="dms:Text"/>
      </xsd:simpleType>
    </xsd:element>
    <xsd:element ma:displayName="Rating1" nillable="true" ma:internalName="Rating1" ma:index="28" name="Rating1">
      <xsd:simpleType>
        <xsd:restriction base="dms:Unknown"/>
      </xsd:simpleType>
    </xsd:element>
    <xsd:element ma:displayName="Rating2" nillable="true" ma:internalName="Rating2" ma:index="29" name="Rating2">
      <xsd:simpleType>
        <xsd:restriction base="dms:Unknown"/>
      </xsd:simpleType>
    </xsd:element>
    <xsd:element ma:displayName="Rating3" nillable="true" ma:internalName="Rating3" ma:index="30" name="Rating3">
      <xsd:simpleType>
        <xsd:restriction base="dms:Unknown"/>
      </xsd:simpleType>
    </xsd:element>
    <xsd:element ma:displayName="Rating4" nillable="true" ma:internalName="Rating4" ma:index="31" name="Rating4">
      <xsd:simpleType>
        <xsd:restriction base="dms:Unknown"/>
      </xsd:simpleType>
    </xsd:element>
    <xsd:element ma:displayName="Rating5" nillable="true" ma:internalName="Rating5" ma:index="32" name="Rating5">
      <xsd:simpleType>
        <xsd:restriction base="dms:Unknown"/>
      </xsd:simpleType>
    </xsd:element>
    <xsd:element ma:displayName="MBID" nillable="true" ma:internalName="MBID" ma:index="33" name="MBID">
      <xsd:simpleType>
        <xsd:restriction base="dms:Text"/>
      </xsd:simpleType>
    </xsd:element>
    <xsd:element ma:displayName="CM1" nillable="true" ma:internalName="_x0043_M1" ma:index="34" name="_x0043_M1">
      <xsd:simpleType>
        <xsd:restriction base="dms:Text"/>
      </xsd:simpleType>
    </xsd:element>
    <xsd:element ma:displayName="CM2" nillable="true" ma:internalName="_x0043_M2" ma:index="35" name="_x0043_M2">
      <xsd:simpleType>
        <xsd:restriction base="dms:Text"/>
      </xsd:simpleType>
    </xsd:element>
    <xsd:element ma:displayName="CM3" nillable="true" ma:internalName="_x0043_M3" ma:index="36" name="_x0043_M3">
      <xsd:simpleType>
        <xsd:restriction base="dms:Text"/>
      </xsd:simpleType>
    </xsd:element>
    <xsd:element ma:displayName="CM4" nillable="true" ma:internalName="_x0043_M4" ma:index="37" name="_x0043_M4">
      <xsd:simpleType>
        <xsd:restriction base="dms:Text"/>
      </xsd:simpleType>
    </xsd:element>
    <xsd:element ma:displayName="CM5" nillable="true" ma:internalName="_x0043_M5" ma:index="38" name="_x0043_M5">
      <xsd:simpleType>
        <xsd:restriction base="dms:Text"/>
      </xsd:simpleType>
    </xsd:element>
    <xsd:element ma:displayName="CM6" nillable="true" ma:internalName="_x0043_M6" ma:index="39" name="_x0043_M6">
      <xsd:simpleType>
        <xsd:restriction base="dms:Text"/>
      </xsd:simpleType>
    </xsd:element>
    <xsd:element ma:displayName="CM7" nillable="true" ma:internalName="_x0043_M7" ma:index="40" name="_x0043_M7">
      <xsd:simpleType>
        <xsd:restriction base="dms:Text"/>
      </xsd:simpleType>
    </xsd:element>
    <xsd:element ma:displayName="CM8" nillable="true" ma:internalName="_x0043_M8" ma:index="41" name="_x0043_M8">
      <xsd:simpleType>
        <xsd:restriction base="dms:Text"/>
      </xsd:simpleType>
    </xsd:element>
    <xsd:element ma:displayName="CM9" nillable="true" ma:internalName="_x0043_M9" ma:index="42" name="_x0043_M9">
      <xsd:simpleType>
        <xsd:restriction base="dms:Text"/>
      </xsd:simpleType>
    </xsd:element>
    <xsd:element ma:displayName="CM10" nillable="true" ma:internalName="_x0043_M10" ma:index="43" name="_x0043_M10">
      <xsd:simpleType>
        <xsd:restriction base="dms:Text"/>
      </xsd:simpleType>
    </xsd:element>
  </xsd:schema>
  <xsd:schema xmlns:xsd="http://www.w3.org/2001/XMLSchema" xmlns:dcterms="http://purl.org/dc/terms/" xmlns="http://schemas.openxmlformats.org/package/2006/metadata/core-properties" xmlns:xsi="http://www.w3.org/2001/XMLSchema-instance" xmlns:dc="http://purl.org/dc/elements/1.1/" xmlns:odoc="http://schemas.microsoft.com/internal/obd" elementFormDefault="qualified" targetNamespace="http://schemas.openxmlformats.org/package/2006/metadata/core-properties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type="CT_coreProperties" name="coreProperties"/>
    <xsd:complexType name="CT_coreProperties">
      <xsd:all>
        <xsd:element ref="dc:creator" maxOccurs="1" minOccurs="0"/>
        <xsd:element ref="dcterms:created" maxOccurs="1" minOccurs="0"/>
        <xsd:element ref="dc:identifier" maxOccurs="1" minOccurs="0"/>
        <xsd:element ma:displayName="Content Type" type="xsd:string" maxOccurs="1" minOccurs="0" ma:index="0" name="contentType"/>
        <xsd:element ma:displayName="Title" ref="dc:title" maxOccurs="1" minOccurs="0" ma:index="4"/>
        <xsd:element ref="dc:subject" maxOccurs="1" minOccurs="0"/>
        <xsd:element ref="dc:description" maxOccurs="1" minOccurs="0"/>
        <xsd:element type="xsd:string" maxOccurs="1" minOccurs="0" name="keywords"/>
        <xsd:element ref="dc:language" maxOccurs="1" minOccurs="0"/>
        <xsd:element type="xsd:string" maxOccurs="1" minOccurs="0" name="category"/>
        <xsd:element type="xsd:string" maxOccurs="1" minOccurs="0" name="version"/>
        <xsd:element type="xsd:string" maxOccurs="1" minOccurs="0" name="revision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type="xsd:string" maxOccurs="1" minOccurs="0" name="lastModifiedBy"/>
        <xsd:element ref="dcterms:modified" maxOccurs="1" minOccurs="0"/>
        <xsd:element type="xsd:string" maxOccurs="1" minOccurs="0" name="contentStatus"/>
      </xsd:all>
    </xsd:complexType>
  </xsd:schema>
  <xs:schema xmlns:pc="http://schemas.microsoft.com/office/infopath/2007/PartnerControls" xmlns:xs="http://www.w3.org/2001/XMLSchema" elementFormDefault="qualified" targetNamespace="http://schemas.microsoft.com/office/infopath/2007/PartnerControls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type="xs:string" name="DisplayName"/>
    <xs:element type="xs:string" name="AccountId"/>
    <xs:element type="xs:string" name="AccountType"/>
    <xs:element name="BDCAssociatedEntity">
      <xs:complexType>
        <xs:sequence>
          <xs:element ref="pc:BDCEntity" maxOccurs="unbounded" minOccurs="0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type="xs:string" name="EntityNamespace"/>
    <xs:attribute type="xs:string" name="EntityName"/>
    <xs:attribute type="xs:string" name="SystemInstanceName"/>
    <xs:attribute type="xs:string" name="AssociationName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type="xs:string" name="EntityDisplayName"/>
    <xs:element type="xs:string" name="EntityInstanceReference"/>
    <xs:element type="xs:string" name="EntityId1"/>
    <xs:element type="xs:string" name="EntityId2"/>
    <xs:element type="xs:string" name="EntityId3"/>
    <xs:element type="xs:string" name="EntityId4"/>
    <xs:element type="xs:string" name="EntityId5"/>
    <xs:element name="Terms">
      <xs:complexType>
        <xs:sequence>
          <xs:element ref="pc:TermInfo" maxOccurs="unbounded" minOccurs="0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type="xs:string" name="TermName"/>
    <xs:element type="xs:string" name="TermId"/>
  </xs:schema>
</ct:contentTypeSchema>
</file>

<file path=customXml/item4.xml><?xml version="1.0" encoding="utf-8"?>
<LongProperties xmlns="http://schemas.microsoft.com/office/2006/metadata/longProperties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7BB8FA-11BF-4EF6-9934-055F9D31C68C}"/>
</file>

<file path=customXml/itemProps2.xml><?xml version="1.0" encoding="utf-8"?>
<ds:datastoreItem xmlns:ds="http://schemas.openxmlformats.org/officeDocument/2006/customXml" ds:itemID="{CF0E6ACC-BF33-44EC-B7F7-5C494F8BEE7D}"/>
</file>

<file path=customXml/itemProps3.xml><?xml version="1.0" encoding="utf-8"?>
<ds:datastoreItem xmlns:ds="http://schemas.openxmlformats.org/officeDocument/2006/customXml" ds:itemID="{934E301B-EAD3-4E4D-B05B-388A9FFC58F7}"/>
</file>

<file path=customXml/itemProps4.xml><?xml version="1.0" encoding="utf-8"?>
<ds:datastoreItem xmlns:ds="http://schemas.openxmlformats.org/officeDocument/2006/customXml" ds:itemID="{F16CAF08-C2D1-4AB1-B735-73371934D372}"/>
</file>

<file path=customXml/itemProps5.xml><?xml version="1.0" encoding="utf-8"?>
<ds:datastoreItem xmlns:ds="http://schemas.openxmlformats.org/officeDocument/2006/customXml" ds:itemID="{EA83E813-24D0-43B1-A0D2-BB0E1008DD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CTS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Cognizant Technology Solutions</dc:title>
  <dc:subject/>
  <dc:creator>pushpa latha</dc:creator>
  <cp:keywords/>
  <dc:description/>
  <cp:lastModifiedBy>Guest User</cp:lastModifiedBy>
  <cp:revision/>
  <dcterms:created xsi:type="dcterms:W3CDTF">2003-01-20T10:25:00Z</dcterms:created>
  <dcterms:modified xsi:type="dcterms:W3CDTF">2026-01-21T11:24:03Z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Jayachandran, Nithya (Cognizant)</vt:lpwstr>
  </property>
  <property fmtid="{D5CDD505-2E9C-101B-9397-08002B2CF9AE}" pid="3" name="TemplateUrl">
    <vt:lpwstr/>
  </property>
  <property fmtid="{D5CDD505-2E9C-101B-9397-08002B2CF9AE}" pid="4" name="xd_ProgID">
    <vt:lpwstr/>
  </property>
  <property fmtid="{D5CDD505-2E9C-101B-9397-08002B2CF9AE}" pid="5" name="display_urn:schemas-microsoft-com:office:office#Author">
    <vt:lpwstr>Dornadhula, Sahitya(Cognizant)</vt:lpwstr>
  </property>
  <property fmtid="{D5CDD505-2E9C-101B-9397-08002B2CF9AE}" pid="6" name="ContentTypeId">
    <vt:lpwstr>0x01010029E5E8BB18D1C54091C9FE5D280D6853</vt:lpwstr>
  </property>
  <property fmtid="{D5CDD505-2E9C-101B-9397-08002B2CF9AE}" pid="7" name="KSOProductBuildVer">
    <vt:lpwstr>1033-4.7.1.7786</vt:lpwstr>
  </property>
</Properties>
</file>